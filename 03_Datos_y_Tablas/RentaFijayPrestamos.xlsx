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392" documentId="11_F87EE6BFA17E7A6C196FD755D95D06E523ED40EA" xr6:coauthVersionLast="47" xr6:coauthVersionMax="47" xr10:uidLastSave="{CECB2D07-A560-4FA1-A87A-CB15117E2B7A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" i="1" l="1"/>
  <c r="Z11" i="1"/>
  <c r="AP11" i="1"/>
  <c r="O21" i="1"/>
  <c r="O20" i="1"/>
  <c r="M20" i="1"/>
  <c r="L20" i="1"/>
  <c r="F19" i="1"/>
  <c r="AZ16" i="1"/>
  <c r="G20" i="1"/>
  <c r="B14" i="1"/>
  <c r="AP12" i="1"/>
  <c r="AQ12" i="1" s="1"/>
  <c r="AR12" i="1" s="1"/>
  <c r="AP13" i="1"/>
  <c r="AQ13" i="1" s="1"/>
  <c r="AR13" i="1" s="1"/>
  <c r="AP14" i="1"/>
  <c r="AQ14" i="1" s="1"/>
  <c r="AR14" i="1" s="1"/>
  <c r="AP15" i="1"/>
  <c r="AQ15" i="1" s="1"/>
  <c r="AR15" i="1" s="1"/>
  <c r="AP16" i="1"/>
  <c r="AQ16" i="1" s="1"/>
  <c r="AR16" i="1" s="1"/>
  <c r="Z28" i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X11" i="1"/>
  <c r="W11" i="1"/>
  <c r="W12" i="1" s="1"/>
  <c r="W13" i="1" s="1"/>
  <c r="W14" i="1" s="1"/>
  <c r="W15" i="1" s="1"/>
  <c r="W16" i="1" s="1"/>
  <c r="W17" i="1" s="1"/>
  <c r="W18" i="1" s="1"/>
  <c r="W19" i="1" s="1"/>
  <c r="W20" i="1" s="1"/>
  <c r="Y20" i="1" s="1"/>
  <c r="Z20" i="1" s="1"/>
  <c r="AA20" i="1" s="1"/>
  <c r="K20" i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L14" i="1"/>
  <c r="K12" i="1"/>
  <c r="N19" i="1" s="1"/>
  <c r="D20" i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Y11" i="1" l="1"/>
  <c r="AA11" i="1" s="1"/>
  <c r="X12" i="1"/>
  <c r="AQ11" i="1"/>
  <c r="AP17" i="1"/>
  <c r="AR11" i="1" l="1"/>
  <c r="AR17" i="1" s="1"/>
  <c r="AQ17" i="1"/>
  <c r="AQ20" i="1" s="1"/>
  <c r="Y12" i="1"/>
  <c r="X13" i="1"/>
  <c r="N20" i="1"/>
  <c r="L21" i="1" s="1"/>
  <c r="M21" i="1"/>
  <c r="N21" i="1" s="1"/>
  <c r="L22" i="1" s="1"/>
  <c r="AT20" i="1" l="1"/>
  <c r="Y13" i="1"/>
  <c r="Z13" i="1" s="1"/>
  <c r="AA13" i="1" s="1"/>
  <c r="X14" i="1"/>
  <c r="Z12" i="1"/>
  <c r="AQ25" i="1"/>
  <c r="O22" i="1"/>
  <c r="O23" i="1" s="1"/>
  <c r="M22" i="1"/>
  <c r="N22" i="1" s="1"/>
  <c r="L23" i="1" s="1"/>
  <c r="O24" i="1"/>
  <c r="AA12" i="1" l="1"/>
  <c r="Y14" i="1"/>
  <c r="X15" i="1"/>
  <c r="O25" i="1"/>
  <c r="M23" i="1"/>
  <c r="N23" i="1" s="1"/>
  <c r="L24" i="1" s="1"/>
  <c r="Y15" i="1" l="1"/>
  <c r="Z15" i="1" s="1"/>
  <c r="AA15" i="1" s="1"/>
  <c r="X16" i="1"/>
  <c r="Z14" i="1"/>
  <c r="M24" i="1"/>
  <c r="N24" i="1" s="1"/>
  <c r="L25" i="1" s="1"/>
  <c r="O26" i="1"/>
  <c r="AA14" i="1" l="1"/>
  <c r="Y16" i="1"/>
  <c r="X17" i="1"/>
  <c r="O27" i="1"/>
  <c r="M25" i="1"/>
  <c r="N25" i="1" s="1"/>
  <c r="L26" i="1" s="1"/>
  <c r="Y17" i="1" l="1"/>
  <c r="Z17" i="1" s="1"/>
  <c r="AA17" i="1" s="1"/>
  <c r="X18" i="1"/>
  <c r="Z16" i="1"/>
  <c r="M26" i="1"/>
  <c r="N26" i="1" s="1"/>
  <c r="L27" i="1" s="1"/>
  <c r="O28" i="1"/>
  <c r="AA16" i="1" l="1"/>
  <c r="Y18" i="1"/>
  <c r="X19" i="1"/>
  <c r="Y19" i="1" s="1"/>
  <c r="Z19" i="1" s="1"/>
  <c r="AA19" i="1" s="1"/>
  <c r="O29" i="1"/>
  <c r="M27" i="1"/>
  <c r="N27" i="1" s="1"/>
  <c r="L28" i="1" s="1"/>
  <c r="Z18" i="1" l="1"/>
  <c r="Y21" i="1"/>
  <c r="U11" i="1" s="1"/>
  <c r="M28" i="1"/>
  <c r="N28" i="1" s="1"/>
  <c r="L29" i="1" s="1"/>
  <c r="O30" i="1"/>
  <c r="AA18" i="1" l="1"/>
  <c r="AA21" i="1" s="1"/>
  <c r="Z21" i="1"/>
  <c r="Z23" i="1" s="1"/>
  <c r="O31" i="1"/>
  <c r="P31" i="1" s="1"/>
  <c r="M29" i="1"/>
  <c r="N29" i="1" s="1"/>
  <c r="L30" i="1" s="1"/>
  <c r="AA28" i="1" l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27" i="1"/>
  <c r="Z25" i="1"/>
  <c r="AD23" i="1"/>
  <c r="AB27" i="1" s="1"/>
  <c r="M30" i="1"/>
  <c r="N30" i="1" s="1"/>
  <c r="L31" i="1" s="1"/>
  <c r="O32" i="1"/>
  <c r="P32" i="1" s="1"/>
  <c r="AB28" i="1" l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E25" i="1"/>
  <c r="O33" i="1"/>
  <c r="M31" i="1"/>
  <c r="N31" i="1" s="1"/>
  <c r="L32" i="1" s="1"/>
  <c r="M32" i="1" l="1"/>
  <c r="N32" i="1" s="1"/>
  <c r="L33" i="1" s="1"/>
  <c r="O34" i="1"/>
  <c r="O35" i="1" l="1"/>
  <c r="M33" i="1"/>
  <c r="N33" i="1" s="1"/>
  <c r="L34" i="1" s="1"/>
  <c r="M34" i="1" l="1"/>
  <c r="N34" i="1" s="1"/>
  <c r="L35" i="1" s="1"/>
  <c r="O36" i="1"/>
  <c r="O37" i="1" l="1"/>
  <c r="M35" i="1"/>
  <c r="N35" i="1" s="1"/>
  <c r="L36" i="1" s="1"/>
  <c r="M36" i="1" l="1"/>
  <c r="N36" i="1" s="1"/>
  <c r="L37" i="1" s="1"/>
  <c r="O38" i="1"/>
  <c r="O39" i="1" l="1"/>
  <c r="M37" i="1"/>
  <c r="N37" i="1" s="1"/>
  <c r="L38" i="1" s="1"/>
  <c r="M38" i="1" l="1"/>
  <c r="N38" i="1" s="1"/>
  <c r="L39" i="1" s="1"/>
  <c r="O40" i="1"/>
  <c r="O41" i="1" l="1"/>
  <c r="M39" i="1"/>
  <c r="N39" i="1" s="1"/>
  <c r="L40" i="1" s="1"/>
  <c r="M40" i="1" l="1"/>
  <c r="N40" i="1" s="1"/>
  <c r="L41" i="1" s="1"/>
  <c r="O42" i="1"/>
  <c r="O43" i="1" l="1"/>
  <c r="M41" i="1"/>
  <c r="N41" i="1" s="1"/>
  <c r="L42" i="1" s="1"/>
  <c r="M42" i="1" l="1"/>
  <c r="N42" i="1" s="1"/>
  <c r="L43" i="1" s="1"/>
  <c r="O44" i="1"/>
  <c r="O45" i="1" l="1"/>
  <c r="M43" i="1"/>
  <c r="N43" i="1" s="1"/>
  <c r="L44" i="1" s="1"/>
  <c r="M44" i="1" l="1"/>
  <c r="N44" i="1" s="1"/>
  <c r="L45" i="1" s="1"/>
  <c r="O46" i="1"/>
  <c r="O47" i="1" l="1"/>
  <c r="M45" i="1"/>
  <c r="N45" i="1" s="1"/>
  <c r="L46" i="1" s="1"/>
  <c r="M46" i="1" l="1"/>
  <c r="N46" i="1" s="1"/>
  <c r="L47" i="1" s="1"/>
  <c r="O48" i="1"/>
  <c r="O49" i="1" l="1"/>
  <c r="M47" i="1"/>
  <c r="N47" i="1" s="1"/>
  <c r="L48" i="1" s="1"/>
  <c r="M48" i="1" l="1"/>
  <c r="N48" i="1" s="1"/>
  <c r="L49" i="1" s="1"/>
  <c r="O50" i="1"/>
  <c r="O51" i="1" l="1"/>
  <c r="M49" i="1"/>
  <c r="N49" i="1" s="1"/>
  <c r="L50" i="1" s="1"/>
  <c r="M50" i="1" l="1"/>
  <c r="N50" i="1" s="1"/>
  <c r="L51" i="1" s="1"/>
  <c r="O52" i="1"/>
  <c r="O53" i="1" l="1"/>
  <c r="M51" i="1"/>
  <c r="N51" i="1" s="1"/>
  <c r="L52" i="1" s="1"/>
  <c r="M52" i="1" l="1"/>
  <c r="N52" i="1" s="1"/>
  <c r="L53" i="1" s="1"/>
  <c r="O54" i="1"/>
  <c r="O55" i="1" l="1"/>
  <c r="M53" i="1"/>
  <c r="N53" i="1" s="1"/>
  <c r="L54" i="1" s="1"/>
  <c r="M54" i="1" l="1"/>
  <c r="N54" i="1" s="1"/>
  <c r="L55" i="1" s="1"/>
  <c r="L56" i="1" s="1"/>
  <c r="M55" i="1" l="1"/>
  <c r="N55" i="1" s="1"/>
  <c r="E20" i="1"/>
  <c r="F20" i="1"/>
  <c r="D21" i="1" s="1"/>
  <c r="G21" i="1"/>
  <c r="E21" i="1" s="1"/>
  <c r="F21" i="1" s="1"/>
  <c r="G22" i="1"/>
  <c r="G23" i="1" s="1"/>
  <c r="G24" i="1"/>
  <c r="G25" i="1"/>
  <c r="G26" i="1"/>
  <c r="G27" i="1"/>
  <c r="G28" i="1"/>
  <c r="G29" i="1"/>
  <c r="G30" i="1"/>
  <c r="G31" i="1"/>
  <c r="G32" i="1"/>
  <c r="G33" i="1" s="1"/>
  <c r="G34" i="1" s="1"/>
  <c r="D22" i="1" l="1"/>
  <c r="E22" i="1" s="1"/>
  <c r="F22" i="1" s="1"/>
  <c r="D23" i="1" l="1"/>
  <c r="G35" i="1"/>
  <c r="G36" i="1" l="1"/>
  <c r="E23" i="1"/>
  <c r="F23" i="1" s="1"/>
  <c r="D24" i="1" l="1"/>
  <c r="G37" i="1"/>
  <c r="G38" i="1" l="1"/>
  <c r="E24" i="1"/>
  <c r="F24" i="1" s="1"/>
  <c r="D25" i="1" l="1"/>
  <c r="G39" i="1"/>
  <c r="G40" i="1" l="1"/>
  <c r="E25" i="1"/>
  <c r="F25" i="1" s="1"/>
  <c r="D26" i="1" l="1"/>
  <c r="G41" i="1"/>
  <c r="G42" i="1" l="1"/>
  <c r="E26" i="1"/>
  <c r="F26" i="1" s="1"/>
  <c r="D27" i="1" l="1"/>
  <c r="G43" i="1"/>
  <c r="G44" i="1" l="1"/>
  <c r="E27" i="1"/>
  <c r="F27" i="1" s="1"/>
  <c r="D28" i="1" l="1"/>
  <c r="G45" i="1"/>
  <c r="G46" i="1" l="1"/>
  <c r="E28" i="1"/>
  <c r="F28" i="1" s="1"/>
  <c r="D29" i="1" l="1"/>
  <c r="G47" i="1"/>
  <c r="G48" i="1" l="1"/>
  <c r="E29" i="1"/>
  <c r="F29" i="1" s="1"/>
  <c r="D30" i="1" l="1"/>
  <c r="G49" i="1"/>
  <c r="G50" i="1" l="1"/>
  <c r="E30" i="1"/>
  <c r="F30" i="1" s="1"/>
  <c r="D31" i="1" l="1"/>
  <c r="G51" i="1"/>
  <c r="G52" i="1" l="1"/>
  <c r="E31" i="1"/>
  <c r="F31" i="1" s="1"/>
  <c r="D32" i="1" l="1"/>
  <c r="G53" i="1"/>
  <c r="G54" i="1" l="1"/>
  <c r="E32" i="1"/>
  <c r="F32" i="1" s="1"/>
  <c r="D33" i="1" l="1"/>
  <c r="G55" i="1"/>
  <c r="E33" i="1" l="1"/>
  <c r="F33" i="1" s="1"/>
  <c r="D34" i="1" l="1"/>
  <c r="E34" i="1" l="1"/>
  <c r="F34" i="1" s="1"/>
  <c r="D35" i="1" l="1"/>
  <c r="E35" i="1" l="1"/>
  <c r="F35" i="1" s="1"/>
  <c r="D36" i="1" l="1"/>
  <c r="E36" i="1" l="1"/>
  <c r="F36" i="1" s="1"/>
  <c r="D37" i="1" l="1"/>
  <c r="E37" i="1" l="1"/>
  <c r="F37" i="1" s="1"/>
  <c r="D38" i="1" l="1"/>
  <c r="E38" i="1" l="1"/>
  <c r="F38" i="1" s="1"/>
  <c r="D39" i="1" l="1"/>
  <c r="E39" i="1" l="1"/>
  <c r="F39" i="1" s="1"/>
  <c r="D40" i="1" l="1"/>
  <c r="E40" i="1" l="1"/>
  <c r="F40" i="1" s="1"/>
  <c r="D41" i="1" l="1"/>
  <c r="E41" i="1" l="1"/>
  <c r="F41" i="1" s="1"/>
  <c r="D42" i="1" l="1"/>
  <c r="E42" i="1" l="1"/>
  <c r="F42" i="1" s="1"/>
  <c r="D43" i="1" l="1"/>
  <c r="E43" i="1" l="1"/>
  <c r="F43" i="1" s="1"/>
  <c r="D44" i="1" l="1"/>
  <c r="E44" i="1" l="1"/>
  <c r="F44" i="1" s="1"/>
  <c r="D45" i="1" l="1"/>
  <c r="E45" i="1" l="1"/>
  <c r="F45" i="1" s="1"/>
  <c r="D46" i="1" l="1"/>
  <c r="E46" i="1" l="1"/>
  <c r="F46" i="1" s="1"/>
  <c r="D47" i="1" l="1"/>
  <c r="E47" i="1" l="1"/>
  <c r="F47" i="1" s="1"/>
  <c r="D48" i="1" l="1"/>
  <c r="E48" i="1" l="1"/>
  <c r="F48" i="1" s="1"/>
  <c r="D49" i="1" l="1"/>
  <c r="E49" i="1" l="1"/>
  <c r="F49" i="1" s="1"/>
  <c r="D50" i="1" l="1"/>
  <c r="E50" i="1" l="1"/>
  <c r="F50" i="1" s="1"/>
  <c r="D51" i="1" l="1"/>
  <c r="E51" i="1" l="1"/>
  <c r="F51" i="1" s="1"/>
  <c r="D52" i="1" l="1"/>
  <c r="E52" i="1" l="1"/>
  <c r="F52" i="1" s="1"/>
  <c r="D53" i="1" l="1"/>
  <c r="E53" i="1" l="1"/>
  <c r="F53" i="1" s="1"/>
  <c r="D54" i="1" l="1"/>
  <c r="E54" i="1" l="1"/>
  <c r="F54" i="1" s="1"/>
  <c r="D55" i="1" l="1"/>
  <c r="E55" i="1" l="1"/>
  <c r="F55" i="1" s="1"/>
  <c r="D56" i="1"/>
</calcChain>
</file>

<file path=xl/sharedStrings.xml><?xml version="1.0" encoding="utf-8"?>
<sst xmlns="http://schemas.openxmlformats.org/spreadsheetml/2006/main" count="63" uniqueCount="41">
  <si>
    <t>Tasa de emisio</t>
  </si>
  <si>
    <t>Tasa de Mercado</t>
  </si>
  <si>
    <t>Vencimiento</t>
  </si>
  <si>
    <t>18/09/2030</t>
  </si>
  <si>
    <t>Tase de emisión</t>
  </si>
  <si>
    <t>Bonos con Cupón</t>
  </si>
  <si>
    <t>Prestamo</t>
  </si>
  <si>
    <t>Inversión A2Censo</t>
  </si>
  <si>
    <t>t</t>
  </si>
  <si>
    <t>Cupón</t>
  </si>
  <si>
    <t>Valor actual hoy 0</t>
  </si>
  <si>
    <t>2*3 VA*T</t>
  </si>
  <si>
    <t>2*4</t>
  </si>
  <si>
    <t>13/02/2025</t>
  </si>
  <si>
    <t>Tiempo</t>
  </si>
  <si>
    <t>Interés</t>
  </si>
  <si>
    <t>CApital</t>
  </si>
  <si>
    <t>Balance</t>
  </si>
  <si>
    <t>PAgo</t>
  </si>
  <si>
    <t>18/09/2025</t>
  </si>
  <si>
    <t>18/02/2025</t>
  </si>
  <si>
    <t>18/09/2026</t>
  </si>
  <si>
    <t>26/06/2025</t>
  </si>
  <si>
    <t>Interes</t>
  </si>
  <si>
    <t>EA</t>
  </si>
  <si>
    <t>18/09/2027</t>
  </si>
  <si>
    <t>Mensual</t>
  </si>
  <si>
    <t>18/09/2028</t>
  </si>
  <si>
    <t>18/09/2029</t>
  </si>
  <si>
    <t>Capital</t>
  </si>
  <si>
    <t>Pago</t>
  </si>
  <si>
    <t>Duracion</t>
  </si>
  <si>
    <t>años</t>
  </si>
  <si>
    <t>Convexidad</t>
  </si>
  <si>
    <t>Precio del bono</t>
  </si>
  <si>
    <t>PB</t>
  </si>
  <si>
    <t>Duración</t>
  </si>
  <si>
    <t>Cambio en el precio</t>
  </si>
  <si>
    <t>Solo con duración</t>
  </si>
  <si>
    <t>Con duración y convexidad</t>
  </si>
  <si>
    <t>Delta 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</si>
</sst>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$-409]* #,##0.00_);_([$$-409]* \(#,##0.00\);_([$$-409]* &quot;-&quot;??_);_(@_)"/>
    <numFmt numFmtId="165" formatCode="0.000%"/>
    <numFmt numFmtId="166" formatCode="0.000000%"/>
    <numFmt numFmtId="167" formatCode="0.0000000%"/>
  </numFmts>
  <fonts count="3">
    <font>
      <sz val="11"/>
      <color theme="1"/>
      <name val="Aptos Narrow"/>
      <family val="2"/>
      <scheme val="minor"/>
    </font>
    <font>
      <sz val="10"/>
      <color theme="1"/>
      <name val="Aptos Narrow"/>
      <charset val="1"/>
    </font>
    <font>
      <sz val="10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Hoja1!$D$18</c:f>
              <c:strCache>
                <c:ptCount val="1"/>
                <c:pt idx="0">
                  <c:v>Interes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Hoja1!$D$19:$D$55</c:f>
              <c:numCache>
                <c:formatCode>_([$$-409]* #,##0.00_);_([$$-409]* \(#,##0.00\);_([$$-409]* "-"??_);_(@_)</c:formatCode>
                <c:ptCount val="37"/>
                <c:pt idx="1">
                  <c:v>402355.26991046377</c:v>
                </c:pt>
                <c:pt idx="2">
                  <c:v>394634.34333951009</c:v>
                </c:pt>
                <c:pt idx="3">
                  <c:v>386758.08899383561</c:v>
                </c:pt>
                <c:pt idx="4">
                  <c:v>378723.38202600437</c:v>
                </c:pt>
                <c:pt idx="5">
                  <c:v>370527.03472363832</c:v>
                </c:pt>
                <c:pt idx="6">
                  <c:v>362165.79524471617</c:v>
                </c:pt>
                <c:pt idx="7">
                  <c:v>353636.34632742766</c:v>
                </c:pt>
                <c:pt idx="8">
                  <c:v>344935.30397407402</c:v>
                </c:pt>
                <c:pt idx="9">
                  <c:v>336059.216108491</c:v>
                </c:pt>
                <c:pt idx="10">
                  <c:v>327004.56120646273</c:v>
                </c:pt>
                <c:pt idx="11">
                  <c:v>317767.74689858191</c:v>
                </c:pt>
                <c:pt idx="12">
                  <c:v>308345.10854500299</c:v>
                </c:pt>
                <c:pt idx="13">
                  <c:v>298732.90778152301</c:v>
                </c:pt>
                <c:pt idx="14">
                  <c:v>288927.33103641181</c:v>
                </c:pt>
                <c:pt idx="15">
                  <c:v>278924.48801740527</c:v>
                </c:pt>
                <c:pt idx="16">
                  <c:v>268720.41016825952</c:v>
                </c:pt>
                <c:pt idx="17">
                  <c:v>258311.04909425476</c:v>
                </c:pt>
                <c:pt idx="18">
                  <c:v>247692.27495602367</c:v>
                </c:pt>
                <c:pt idx="19">
                  <c:v>236859.87483106725</c:v>
                </c:pt>
                <c:pt idx="20">
                  <c:v>225809.55104230807</c:v>
                </c:pt>
                <c:pt idx="21">
                  <c:v>214536.91945301768</c:v>
                </c:pt>
                <c:pt idx="22">
                  <c:v>203037.50772744181</c:v>
                </c:pt>
                <c:pt idx="23">
                  <c:v>191306.75355643313</c:v>
                </c:pt>
                <c:pt idx="24">
                  <c:v>179340.00284738798</c:v>
                </c:pt>
                <c:pt idx="25">
                  <c:v>167132.50787776837</c:v>
                </c:pt>
                <c:pt idx="26">
                  <c:v>154679.42541147716</c:v>
                </c:pt>
                <c:pt idx="27">
                  <c:v>141975.81477733888</c:v>
                </c:pt>
                <c:pt idx="28">
                  <c:v>129016.63590892377</c:v>
                </c:pt>
                <c:pt idx="29">
                  <c:v>115796.74734493773</c:v>
                </c:pt>
                <c:pt idx="30">
                  <c:v>102310.90418938424</c:v>
                </c:pt>
                <c:pt idx="31">
                  <c:v>88553.756030689605</c:v>
                </c:pt>
                <c:pt idx="32">
                  <c:v>74519.844818965459</c:v>
                </c:pt>
                <c:pt idx="33">
                  <c:v>60203.602700566684</c:v>
                </c:pt>
                <c:pt idx="34">
                  <c:v>45599.349809085317</c:v>
                </c:pt>
                <c:pt idx="35">
                  <c:v>30701.292011904316</c:v>
                </c:pt>
                <c:pt idx="36">
                  <c:v>15503.518611416994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B-4811-ABA7-EDAF83CBB6E7}"/>
            </c:ext>
          </c:extLst>
        </c:ser>
        <c:ser>
          <c:idx val="1"/>
          <c:order val="1"/>
          <c:tx>
            <c:strRef>
              <c:f>Hoja1!$E$18</c:f>
              <c:strCache>
                <c:ptCount val="1"/>
                <c:pt idx="0">
                  <c:v>Capital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Hoja1!$E$19:$E$55</c:f>
              <c:numCache>
                <c:formatCode>_([$$-409]* #,##0.00_);_([$$-409]* \(#,##0.00\);_([$$-409]* "-"??_);_(@_)</c:formatCode>
                <c:ptCount val="37"/>
                <c:pt idx="1">
                  <c:v>383786.5264034862</c:v>
                </c:pt>
                <c:pt idx="2">
                  <c:v>391507.45297443989</c:v>
                </c:pt>
                <c:pt idx="3">
                  <c:v>399383.70732011436</c:v>
                </c:pt>
                <c:pt idx="4">
                  <c:v>407418.4142879456</c:v>
                </c:pt>
                <c:pt idx="5">
                  <c:v>415614.76159031165</c:v>
                </c:pt>
                <c:pt idx="6">
                  <c:v>423976.00106923381</c:v>
                </c:pt>
                <c:pt idx="7">
                  <c:v>432505.44998652232</c:v>
                </c:pt>
                <c:pt idx="8">
                  <c:v>441206.49233987596</c:v>
                </c:pt>
                <c:pt idx="9">
                  <c:v>450082.58020545897</c:v>
                </c:pt>
                <c:pt idx="10">
                  <c:v>459137.23510748724</c:v>
                </c:pt>
                <c:pt idx="11">
                  <c:v>468374.04941536806</c:v>
                </c:pt>
                <c:pt idx="12">
                  <c:v>477796.68776894698</c:v>
                </c:pt>
                <c:pt idx="13">
                  <c:v>487408.88853242696</c:v>
                </c:pt>
                <c:pt idx="14">
                  <c:v>497214.46527753817</c:v>
                </c:pt>
                <c:pt idx="15">
                  <c:v>507217.30829654471</c:v>
                </c:pt>
                <c:pt idx="16">
                  <c:v>517421.38614569046</c:v>
                </c:pt>
                <c:pt idx="17">
                  <c:v>527830.74721969524</c:v>
                </c:pt>
                <c:pt idx="18">
                  <c:v>538449.52135792631</c:v>
                </c:pt>
                <c:pt idx="19">
                  <c:v>549281.9214828827</c:v>
                </c:pt>
                <c:pt idx="20">
                  <c:v>560332.24527164188</c:v>
                </c:pt>
                <c:pt idx="21">
                  <c:v>571604.87686093233</c:v>
                </c:pt>
                <c:pt idx="22">
                  <c:v>583104.28858650813</c:v>
                </c:pt>
                <c:pt idx="23">
                  <c:v>594835.04275751684</c:v>
                </c:pt>
                <c:pt idx="24">
                  <c:v>606801.79346656194</c:v>
                </c:pt>
                <c:pt idx="25">
                  <c:v>619009.28843618161</c:v>
                </c:pt>
                <c:pt idx="26">
                  <c:v>631462.37090247287</c:v>
                </c:pt>
                <c:pt idx="27">
                  <c:v>644165.9815366111</c:v>
                </c:pt>
                <c:pt idx="28">
                  <c:v>657125.16040502617</c:v>
                </c:pt>
                <c:pt idx="29">
                  <c:v>670345.04896901222</c:v>
                </c:pt>
                <c:pt idx="30">
                  <c:v>683830.89212456578</c:v>
                </c:pt>
                <c:pt idx="31">
                  <c:v>697588.0402832604</c:v>
                </c:pt>
                <c:pt idx="32">
                  <c:v>711621.95149498456</c:v>
                </c:pt>
                <c:pt idx="33">
                  <c:v>725938.19361338334</c:v>
                </c:pt>
                <c:pt idx="34">
                  <c:v>740542.44650486461</c:v>
                </c:pt>
                <c:pt idx="35">
                  <c:v>755440.50430204568</c:v>
                </c:pt>
                <c:pt idx="36">
                  <c:v>770638.27770253294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7B-4811-ABA7-EDAF83CB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914376"/>
        <c:axId val="1866030088"/>
      </c:lineChart>
      <c:catAx>
        <c:axId val="1465914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30088"/>
        <c:crosses val="autoZero"/>
        <c:auto val="1"/>
        <c:lblAlgn val="ctr"/>
        <c:lblOffset val="100"/>
        <c:noMultiLvlLbl val="0"/>
      </c:catAx>
      <c:valAx>
        <c:axId val="18660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1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3</xdr:row>
      <xdr:rowOff>57150</xdr:rowOff>
    </xdr:from>
    <xdr:to>
      <xdr:col>6</xdr:col>
      <xdr:colOff>161925</xdr:colOff>
      <xdr:row>6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DE0337-0B39-10C0-69FC-032339D035CC}"/>
            </a:ext>
            <a:ext uri="{147F2762-F138-4A5C-976F-8EAC2B608ADB}">
              <a16:predDERef xmlns:a16="http://schemas.microsoft.com/office/drawing/2014/main" pred="{5999C9F7-5288-4B2B-9CA5-F608F43B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628650"/>
          <a:ext cx="2486025" cy="590550"/>
        </a:xfrm>
        <a:prstGeom prst="rect">
          <a:avLst/>
        </a:prstGeom>
      </xdr:spPr>
    </xdr:pic>
    <xdr:clientData/>
  </xdr:twoCellAnchor>
  <xdr:twoCellAnchor editAs="oneCell">
    <xdr:from>
      <xdr:col>23</xdr:col>
      <xdr:colOff>819150</xdr:colOff>
      <xdr:row>1</xdr:row>
      <xdr:rowOff>19050</xdr:rowOff>
    </xdr:from>
    <xdr:to>
      <xdr:col>27</xdr:col>
      <xdr:colOff>1485900</xdr:colOff>
      <xdr:row>5</xdr:row>
      <xdr:rowOff>19050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293CB1-8202-5789-693C-54129C2F3F99}"/>
            </a:ext>
            <a:ext uri="{147F2762-F138-4A5C-976F-8EAC2B608ADB}">
              <a16:predDERef xmlns:a16="http://schemas.microsoft.com/office/drawing/2014/main" pred="{EDDE0337-0B39-10C0-69FC-032339D0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02575" y="209550"/>
          <a:ext cx="4591050" cy="762000"/>
        </a:xfrm>
        <a:prstGeom prst="rect">
          <a:avLst/>
        </a:prstGeom>
      </xdr:spPr>
    </xdr:pic>
    <xdr:clientData/>
  </xdr:twoCellAnchor>
  <xdr:twoCellAnchor>
    <xdr:from>
      <xdr:col>3</xdr:col>
      <xdr:colOff>885825</xdr:colOff>
      <xdr:row>6</xdr:row>
      <xdr:rowOff>161925</xdr:rowOff>
    </xdr:from>
    <xdr:to>
      <xdr:col>6</xdr:col>
      <xdr:colOff>228600</xdr:colOff>
      <xdr:row>16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11C4F9-D921-D6D4-6E66-5F6BFBE551E6}"/>
            </a:ext>
            <a:ext uri="{147F2762-F138-4A5C-976F-8EAC2B608ADB}">
              <a16:predDERef xmlns:a16="http://schemas.microsoft.com/office/drawing/2014/main" pred="{5F293CB1-8202-5789-693C-54129C2F3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40</xdr:col>
      <xdr:colOff>561975</xdr:colOff>
      <xdr:row>25</xdr:row>
      <xdr:rowOff>85725</xdr:rowOff>
    </xdr:from>
    <xdr:to>
      <xdr:col>45</xdr:col>
      <xdr:colOff>638175</xdr:colOff>
      <xdr:row>39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F5608D-11DD-719B-5D3A-295972599D6C}"/>
            </a:ext>
            <a:ext uri="{147F2762-F138-4A5C-976F-8EAC2B608ADB}">
              <a16:predDERef xmlns:a16="http://schemas.microsoft.com/office/drawing/2014/main" pred="{3D11C4F9-D921-D6D4-6E66-5F6BFBE55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0" y="4848225"/>
          <a:ext cx="4572000" cy="269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56"/>
  <sheetViews>
    <sheetView tabSelected="1" topLeftCell="AE2" workbookViewId="0">
      <selection activeCell="AS16" sqref="AS16"/>
    </sheetView>
  </sheetViews>
  <sheetFormatPr defaultRowHeight="15"/>
  <cols>
    <col min="1" max="1" width="15.28515625" bestFit="1" customWidth="1"/>
    <col min="4" max="5" width="17.5703125" customWidth="1"/>
    <col min="6" max="6" width="20.42578125" customWidth="1"/>
    <col min="7" max="7" width="21.85546875" customWidth="1"/>
    <col min="11" max="11" width="16.7109375" bestFit="1" customWidth="1"/>
    <col min="12" max="12" width="14.140625" bestFit="1" customWidth="1"/>
    <col min="13" max="13" width="12.5703125" bestFit="1" customWidth="1"/>
    <col min="14" max="14" width="16.140625" bestFit="1" customWidth="1"/>
    <col min="15" max="15" width="12.5703125" bestFit="1" customWidth="1"/>
    <col min="16" max="16" width="16" bestFit="1" customWidth="1"/>
    <col min="21" max="21" width="15.28515625" bestFit="1" customWidth="1"/>
    <col min="24" max="24" width="14.140625" bestFit="1" customWidth="1"/>
    <col min="25" max="25" width="17.85546875" bestFit="1" customWidth="1"/>
    <col min="26" max="26" width="10.7109375" bestFit="1" customWidth="1"/>
    <col min="27" max="27" width="16.140625" bestFit="1" customWidth="1"/>
    <col min="28" max="28" width="23.7109375" bestFit="1" customWidth="1"/>
    <col min="29" max="29" width="10.85546875" bestFit="1" customWidth="1"/>
    <col min="31" max="31" width="10.7109375" bestFit="1" customWidth="1"/>
    <col min="39" max="39" width="15.28515625" bestFit="1" customWidth="1"/>
    <col min="40" max="40" width="10.85546875" bestFit="1" customWidth="1"/>
    <col min="42" max="42" width="16" bestFit="1" customWidth="1"/>
    <col min="43" max="43" width="13.85546875" customWidth="1"/>
    <col min="44" max="44" width="17.5703125" customWidth="1"/>
    <col min="45" max="46" width="10.85546875" bestFit="1" customWidth="1"/>
  </cols>
  <sheetData>
    <row r="2" spans="1:59">
      <c r="AM2" t="s">
        <v>0</v>
      </c>
      <c r="AN2" s="3">
        <v>7.7499999999999999E-2</v>
      </c>
    </row>
    <row r="3" spans="1:59">
      <c r="AM3" t="s">
        <v>1</v>
      </c>
      <c r="AN3" s="3">
        <v>0.10893</v>
      </c>
    </row>
    <row r="4" spans="1:59">
      <c r="AM4" t="s">
        <v>2</v>
      </c>
      <c r="AN4" t="s">
        <v>3</v>
      </c>
    </row>
    <row r="6" spans="1:59">
      <c r="U6" t="s">
        <v>4</v>
      </c>
      <c r="V6" s="2">
        <v>0.1</v>
      </c>
    </row>
    <row r="7" spans="1:59">
      <c r="U7" t="s">
        <v>1</v>
      </c>
      <c r="V7" s="2">
        <v>0.09</v>
      </c>
      <c r="X7" t="s">
        <v>5</v>
      </c>
    </row>
    <row r="8" spans="1:59">
      <c r="W8">
        <v>1</v>
      </c>
      <c r="X8">
        <v>2</v>
      </c>
      <c r="Y8">
        <v>3</v>
      </c>
      <c r="Z8">
        <v>4</v>
      </c>
      <c r="AA8">
        <v>5</v>
      </c>
      <c r="AN8">
        <v>1</v>
      </c>
      <c r="AO8">
        <v>2</v>
      </c>
      <c r="AP8">
        <v>3</v>
      </c>
      <c r="AQ8">
        <v>4</v>
      </c>
      <c r="AR8">
        <v>5</v>
      </c>
    </row>
    <row r="9" spans="1:59">
      <c r="C9" t="s">
        <v>6</v>
      </c>
      <c r="K9" t="s">
        <v>7</v>
      </c>
      <c r="U9" s="1">
        <v>20000000</v>
      </c>
      <c r="W9" t="s">
        <v>8</v>
      </c>
      <c r="X9" t="s">
        <v>9</v>
      </c>
      <c r="Y9" t="s">
        <v>10</v>
      </c>
      <c r="Z9" t="s">
        <v>11</v>
      </c>
      <c r="AA9" t="s">
        <v>12</v>
      </c>
      <c r="AN9" t="s">
        <v>8</v>
      </c>
      <c r="AO9" t="s">
        <v>9</v>
      </c>
      <c r="AP9" t="s">
        <v>10</v>
      </c>
      <c r="AQ9" t="s">
        <v>11</v>
      </c>
      <c r="AR9" t="s">
        <v>12</v>
      </c>
    </row>
    <row r="10" spans="1:59">
      <c r="A10" s="1">
        <v>30000000</v>
      </c>
      <c r="W10">
        <v>0</v>
      </c>
      <c r="AN10" t="s">
        <v>13</v>
      </c>
      <c r="BC10" t="s">
        <v>14</v>
      </c>
      <c r="BD10" t="s">
        <v>15</v>
      </c>
      <c r="BE10" t="s">
        <v>16</v>
      </c>
      <c r="BF10" t="s">
        <v>17</v>
      </c>
      <c r="BG10" t="s">
        <v>18</v>
      </c>
    </row>
    <row r="11" spans="1:59">
      <c r="A11" s="1">
        <v>10000000</v>
      </c>
      <c r="U11" s="1">
        <f>+(U9*Y21)/100</f>
        <v>21283531.54023179</v>
      </c>
      <c r="W11">
        <f>+W10+1</f>
        <v>1</v>
      </c>
      <c r="X11">
        <f>+V6*100</f>
        <v>10</v>
      </c>
      <c r="Y11">
        <f>X11/(1+$V$7)^W11</f>
        <v>9.1743119266055047</v>
      </c>
      <c r="Z11">
        <f>+Y11*W11</f>
        <v>9.1743119266055047</v>
      </c>
      <c r="AA11">
        <f>+Z11*W11</f>
        <v>9.1743119266055047</v>
      </c>
      <c r="AL11">
        <v>1</v>
      </c>
      <c r="AM11">
        <v>217</v>
      </c>
      <c r="AN11" t="s">
        <v>19</v>
      </c>
      <c r="AO11">
        <v>7.75</v>
      </c>
      <c r="AP11">
        <f>+AO11/(1+$AN$3)^(AM11/365)</f>
        <v>7.2879481292824142</v>
      </c>
      <c r="AQ11">
        <f>+AP11*(AM11/365)</f>
        <v>4.3328349152172159</v>
      </c>
      <c r="AR11">
        <f>AQ11*(AM11/365)</f>
        <v>2.5759593879510572</v>
      </c>
      <c r="AT11" t="s">
        <v>20</v>
      </c>
      <c r="BC11">
        <v>0</v>
      </c>
    </row>
    <row r="12" spans="1:59">
      <c r="K12" s="1">
        <f>+A11</f>
        <v>10000000</v>
      </c>
      <c r="W12">
        <f t="shared" ref="W12:W20" si="0">+W11+1</f>
        <v>2</v>
      </c>
      <c r="X12">
        <f>+X11</f>
        <v>10</v>
      </c>
      <c r="Y12">
        <f t="shared" ref="Y12:Y20" si="1">X12/(1+$V$7)^W12</f>
        <v>8.4167999326655991</v>
      </c>
      <c r="Z12">
        <f t="shared" ref="Z12:Z20" si="2">+Y12*W12</f>
        <v>16.833599865331198</v>
      </c>
      <c r="AA12">
        <f t="shared" ref="AA12:AA20" si="3">+Z12*W12</f>
        <v>33.667199730662396</v>
      </c>
      <c r="AL12">
        <v>2</v>
      </c>
      <c r="AM12">
        <v>582</v>
      </c>
      <c r="AN12" t="s">
        <v>21</v>
      </c>
      <c r="AO12">
        <v>7.75</v>
      </c>
      <c r="AP12">
        <f>+AO12/(1+$AN$3)^(AM12/365)</f>
        <v>6.5720542588643234</v>
      </c>
      <c r="AQ12">
        <f t="shared" ref="AQ12:AQ16" si="4">+AP12*(AM12/365)</f>
        <v>10.479275557969961</v>
      </c>
      <c r="AR12">
        <f t="shared" ref="AR12:AR16" si="5">AQ12*(AM12/365)</f>
        <v>16.70942020476306</v>
      </c>
      <c r="AS12" s="11" t="e">
        <f>+AT12-AT11</f>
        <v>#VALUE!</v>
      </c>
      <c r="AT12" t="s">
        <v>22</v>
      </c>
      <c r="BC12">
        <v>1</v>
      </c>
    </row>
    <row r="13" spans="1:59">
      <c r="A13" t="s">
        <v>23</v>
      </c>
      <c r="B13" s="2">
        <v>0.27</v>
      </c>
      <c r="C13" t="s">
        <v>24</v>
      </c>
      <c r="K13" t="s">
        <v>23</v>
      </c>
      <c r="L13" s="2">
        <v>0.17</v>
      </c>
      <c r="M13" t="s">
        <v>24</v>
      </c>
      <c r="W13">
        <f t="shared" si="0"/>
        <v>3</v>
      </c>
      <c r="X13">
        <f t="shared" ref="X13:X20" si="6">+X12</f>
        <v>10</v>
      </c>
      <c r="Y13">
        <f t="shared" si="1"/>
        <v>7.7218348006106412</v>
      </c>
      <c r="Z13">
        <f t="shared" si="2"/>
        <v>23.165504401831924</v>
      </c>
      <c r="AA13">
        <f t="shared" si="3"/>
        <v>69.496513205495773</v>
      </c>
      <c r="AL13">
        <v>3</v>
      </c>
      <c r="AM13">
        <v>947</v>
      </c>
      <c r="AN13" t="s">
        <v>25</v>
      </c>
      <c r="AO13">
        <v>7.75</v>
      </c>
      <c r="AP13">
        <f t="shared" ref="AP12:AP16" si="7">+AO13/(1+$AN$3)^(AM13/365)</f>
        <v>5.9264825181610412</v>
      </c>
      <c r="AQ13">
        <f t="shared" si="4"/>
        <v>15.376380670406865</v>
      </c>
      <c r="AR13">
        <f t="shared" si="5"/>
        <v>39.894335602398087</v>
      </c>
      <c r="BC13">
        <v>2</v>
      </c>
    </row>
    <row r="14" spans="1:59">
      <c r="B14" s="3">
        <f>+(B13+1)^(1/12)-1</f>
        <v>2.0117763495523189E-2</v>
      </c>
      <c r="C14" t="s">
        <v>26</v>
      </c>
      <c r="L14" s="4">
        <f>+(1+L13)^(1/12)-1</f>
        <v>1.3169611131462311E-2</v>
      </c>
      <c r="M14" t="s">
        <v>26</v>
      </c>
      <c r="W14">
        <f t="shared" si="0"/>
        <v>4</v>
      </c>
      <c r="X14">
        <f t="shared" si="6"/>
        <v>10</v>
      </c>
      <c r="Y14">
        <f t="shared" si="1"/>
        <v>7.0842521106519643</v>
      </c>
      <c r="Z14">
        <f t="shared" si="2"/>
        <v>28.337008442607857</v>
      </c>
      <c r="AA14">
        <f t="shared" si="3"/>
        <v>113.34803377043143</v>
      </c>
      <c r="AL14">
        <v>4</v>
      </c>
      <c r="AM14">
        <v>1313</v>
      </c>
      <c r="AN14" t="s">
        <v>27</v>
      </c>
      <c r="AO14">
        <v>7.75</v>
      </c>
      <c r="AP14">
        <f t="shared" si="7"/>
        <v>5.3428114742638764</v>
      </c>
      <c r="AQ14">
        <f t="shared" si="4"/>
        <v>19.219483467694438</v>
      </c>
      <c r="AR14">
        <f t="shared" si="5"/>
        <v>69.137484364610401</v>
      </c>
      <c r="BC14">
        <v>3</v>
      </c>
    </row>
    <row r="15" spans="1:59">
      <c r="W15">
        <f t="shared" si="0"/>
        <v>5</v>
      </c>
      <c r="X15">
        <f t="shared" si="6"/>
        <v>10</v>
      </c>
      <c r="Y15">
        <f t="shared" si="1"/>
        <v>6.4993138629834526</v>
      </c>
      <c r="Z15">
        <f t="shared" si="2"/>
        <v>32.496569314917267</v>
      </c>
      <c r="AA15">
        <f t="shared" si="3"/>
        <v>162.48284657458635</v>
      </c>
      <c r="AL15">
        <v>5</v>
      </c>
      <c r="AM15">
        <v>1678</v>
      </c>
      <c r="AN15" t="s">
        <v>28</v>
      </c>
      <c r="AO15">
        <v>7.75</v>
      </c>
      <c r="AP15">
        <f t="shared" si="7"/>
        <v>4.8179880373548167</v>
      </c>
      <c r="AQ15">
        <f t="shared" si="4"/>
        <v>22.14954500460653</v>
      </c>
      <c r="AR15">
        <f t="shared" si="5"/>
        <v>101.82722333624592</v>
      </c>
      <c r="BC15">
        <v>4</v>
      </c>
    </row>
    <row r="16" spans="1:59">
      <c r="W16">
        <f t="shared" si="0"/>
        <v>6</v>
      </c>
      <c r="X16">
        <f t="shared" si="6"/>
        <v>10</v>
      </c>
      <c r="Y16">
        <f t="shared" si="1"/>
        <v>5.962673268792158</v>
      </c>
      <c r="Z16">
        <f t="shared" si="2"/>
        <v>35.776039612752946</v>
      </c>
      <c r="AA16">
        <f t="shared" si="3"/>
        <v>214.65623767651766</v>
      </c>
      <c r="AL16">
        <v>6</v>
      </c>
      <c r="AM16">
        <v>2043</v>
      </c>
      <c r="AN16" t="s">
        <v>3</v>
      </c>
      <c r="AO16">
        <v>107.75</v>
      </c>
      <c r="AP16">
        <f t="shared" si="7"/>
        <v>60.405594235999239</v>
      </c>
      <c r="AQ16">
        <f t="shared" si="4"/>
        <v>338.10583294286698</v>
      </c>
      <c r="AR16">
        <f t="shared" si="5"/>
        <v>1892.4663471295269</v>
      </c>
      <c r="AX16" s="12"/>
      <c r="AY16" s="13">
        <v>-1000</v>
      </c>
      <c r="AZ16" s="2" t="e">
        <f>IRR(AY17:AY22)</f>
        <v>#NUM!</v>
      </c>
      <c r="BC16">
        <v>5</v>
      </c>
    </row>
    <row r="17" spans="3:55">
      <c r="W17">
        <f t="shared" si="0"/>
        <v>7</v>
      </c>
      <c r="X17">
        <f t="shared" si="6"/>
        <v>10</v>
      </c>
      <c r="Y17">
        <f t="shared" si="1"/>
        <v>5.4703424484331729</v>
      </c>
      <c r="Z17">
        <f t="shared" si="2"/>
        <v>38.292397139032211</v>
      </c>
      <c r="AA17">
        <f t="shared" si="3"/>
        <v>268.04677997322545</v>
      </c>
      <c r="AP17">
        <f>+SUM(AP11:AP16)</f>
        <v>90.3528786539257</v>
      </c>
      <c r="AQ17">
        <f>+SUM(AQ11:AQ16)</f>
        <v>409.66335255876197</v>
      </c>
      <c r="AR17">
        <f>+SUM(AR11:AR16)</f>
        <v>2122.6107700254952</v>
      </c>
      <c r="AX17" s="13">
        <v>1</v>
      </c>
      <c r="AY17" s="13">
        <v>10</v>
      </c>
      <c r="BC17">
        <v>6</v>
      </c>
    </row>
    <row r="18" spans="3:55">
      <c r="C18" t="s">
        <v>14</v>
      </c>
      <c r="D18" t="s">
        <v>23</v>
      </c>
      <c r="E18" t="s">
        <v>29</v>
      </c>
      <c r="F18" t="s">
        <v>17</v>
      </c>
      <c r="G18" t="s">
        <v>30</v>
      </c>
      <c r="K18" t="s">
        <v>14</v>
      </c>
      <c r="L18" t="s">
        <v>23</v>
      </c>
      <c r="M18" t="s">
        <v>29</v>
      </c>
      <c r="N18" t="s">
        <v>17</v>
      </c>
      <c r="O18" t="s">
        <v>30</v>
      </c>
      <c r="W18">
        <f t="shared" si="0"/>
        <v>8</v>
      </c>
      <c r="X18">
        <f t="shared" si="6"/>
        <v>10</v>
      </c>
      <c r="Y18">
        <f t="shared" si="1"/>
        <v>5.0186627967276811</v>
      </c>
      <c r="Z18">
        <f t="shared" si="2"/>
        <v>40.149302373821449</v>
      </c>
      <c r="AA18">
        <f t="shared" si="3"/>
        <v>321.19441899057159</v>
      </c>
      <c r="AX18" s="13">
        <v>2</v>
      </c>
      <c r="AY18" s="13">
        <v>10</v>
      </c>
      <c r="BC18">
        <v>7</v>
      </c>
    </row>
    <row r="19" spans="3:55">
      <c r="C19">
        <v>0</v>
      </c>
      <c r="F19" s="1">
        <f>+A10-A11</f>
        <v>20000000</v>
      </c>
      <c r="K19">
        <v>0</v>
      </c>
      <c r="N19" s="1">
        <f>+K12</f>
        <v>10000000</v>
      </c>
      <c r="W19">
        <f>+W18+1</f>
        <v>9</v>
      </c>
      <c r="X19">
        <f t="shared" si="6"/>
        <v>10</v>
      </c>
      <c r="Y19">
        <f t="shared" si="1"/>
        <v>4.6042777951630098</v>
      </c>
      <c r="Z19">
        <f t="shared" si="2"/>
        <v>41.438500156467086</v>
      </c>
      <c r="AA19">
        <f t="shared" si="3"/>
        <v>372.94650140820374</v>
      </c>
      <c r="AX19" s="13">
        <v>3</v>
      </c>
      <c r="AY19" s="13">
        <v>10</v>
      </c>
      <c r="BC19">
        <v>8</v>
      </c>
    </row>
    <row r="20" spans="3:55">
      <c r="C20">
        <f>+C19+1</f>
        <v>1</v>
      </c>
      <c r="D20" s="1">
        <f>+F19*$B$14</f>
        <v>402355.26991046377</v>
      </c>
      <c r="E20" s="1">
        <f>+G20-D20</f>
        <v>383786.5264034862</v>
      </c>
      <c r="F20" s="1">
        <f>+F19-E20</f>
        <v>19616213.473596513</v>
      </c>
      <c r="G20" s="1">
        <f>+PMT($B$14,36,$F$19)*-1</f>
        <v>786141.79631394998</v>
      </c>
      <c r="K20">
        <f>+K19+1</f>
        <v>1</v>
      </c>
      <c r="L20" s="1">
        <f>+N19*$L$14</f>
        <v>131696.11131462312</v>
      </c>
      <c r="M20" s="1">
        <f>+O20-L20</f>
        <v>218905.0291709523</v>
      </c>
      <c r="N20" s="1">
        <f>+N19-M20</f>
        <v>9781094.9708290473</v>
      </c>
      <c r="O20" s="1">
        <f>+PMT(L14,36,N19)*-1</f>
        <v>350601.14048557542</v>
      </c>
      <c r="W20">
        <f t="shared" si="0"/>
        <v>10</v>
      </c>
      <c r="X20">
        <v>110</v>
      </c>
      <c r="Y20">
        <f t="shared" si="1"/>
        <v>46.465188758525784</v>
      </c>
      <c r="Z20">
        <f t="shared" si="2"/>
        <v>464.65188758525784</v>
      </c>
      <c r="AA20">
        <f t="shared" si="3"/>
        <v>4646.5188758525783</v>
      </c>
      <c r="AP20" t="s">
        <v>31</v>
      </c>
      <c r="AQ20">
        <f>+AQ17/AP17</f>
        <v>4.5340376384451</v>
      </c>
      <c r="AR20" t="s">
        <v>32</v>
      </c>
      <c r="AS20" t="s">
        <v>33</v>
      </c>
      <c r="AT20">
        <f>AR17/AQ17/AP17</f>
        <v>5.7345752353580561E-2</v>
      </c>
      <c r="AX20" s="13">
        <v>4</v>
      </c>
      <c r="AY20" s="13">
        <v>10</v>
      </c>
      <c r="BC20">
        <v>9</v>
      </c>
    </row>
    <row r="21" spans="3:55">
      <c r="C21">
        <f t="shared" ref="C21:C55" si="8">+C20+1</f>
        <v>2</v>
      </c>
      <c r="D21" s="1">
        <f>+F20*$B$14</f>
        <v>394634.34333951009</v>
      </c>
      <c r="E21" s="1">
        <f t="shared" ref="E21:E55" si="9">+G21-D21</f>
        <v>391507.45297443989</v>
      </c>
      <c r="F21" s="1">
        <f t="shared" ref="F21:F55" si="10">+F20-E21</f>
        <v>19224706.020622075</v>
      </c>
      <c r="G21" s="1">
        <f>+G20</f>
        <v>786141.79631394998</v>
      </c>
      <c r="K21">
        <f t="shared" ref="K21:K55" si="11">+K20+1</f>
        <v>2</v>
      </c>
      <c r="L21" s="1">
        <f t="shared" ref="L21:L55" si="12">+N20*$L$14</f>
        <v>128813.21720572026</v>
      </c>
      <c r="M21" s="1">
        <f t="shared" ref="M21:M55" si="13">+O21-L21</f>
        <v>221787.92327985517</v>
      </c>
      <c r="N21" s="1">
        <f t="shared" ref="N21:N55" si="14">+N20-M21</f>
        <v>9559307.0475491919</v>
      </c>
      <c r="O21" s="1">
        <f>+O20</f>
        <v>350601.14048557542</v>
      </c>
      <c r="X21" t="s">
        <v>34</v>
      </c>
      <c r="Y21" s="7">
        <f>+SUM(Y11:Y20)</f>
        <v>106.41765770115896</v>
      </c>
      <c r="Z21" s="5">
        <f>+SUM(Z11:Z20)</f>
        <v>730.31512081862525</v>
      </c>
      <c r="AA21" s="6">
        <f>+SUM(AA11:AA20)</f>
        <v>6211.531719108878</v>
      </c>
      <c r="AX21" s="13">
        <v>5</v>
      </c>
      <c r="AY21" s="13">
        <v>10</v>
      </c>
      <c r="BC21">
        <v>10</v>
      </c>
    </row>
    <row r="22" spans="3:55">
      <c r="C22">
        <f t="shared" si="8"/>
        <v>3</v>
      </c>
      <c r="D22" s="1">
        <f>+F21*$B$14</f>
        <v>386758.08899383561</v>
      </c>
      <c r="E22" s="1">
        <f t="shared" si="9"/>
        <v>399383.70732011436</v>
      </c>
      <c r="F22" s="1">
        <f t="shared" si="10"/>
        <v>18825322.313301962</v>
      </c>
      <c r="G22" s="1">
        <f t="shared" ref="G22:G55" si="15">+G21</f>
        <v>786141.79631394998</v>
      </c>
      <c r="K22">
        <f t="shared" si="11"/>
        <v>3</v>
      </c>
      <c r="L22" s="1">
        <f t="shared" si="12"/>
        <v>125892.35650246995</v>
      </c>
      <c r="M22" s="1">
        <f t="shared" si="13"/>
        <v>224708.78398310547</v>
      </c>
      <c r="N22" s="1">
        <f t="shared" si="14"/>
        <v>9334598.2635660861</v>
      </c>
      <c r="O22" s="1">
        <f t="shared" ref="O22:O55" si="16">+O21</f>
        <v>350601.14048557542</v>
      </c>
      <c r="AP22" t="s">
        <v>35</v>
      </c>
      <c r="AQ22" s="3">
        <v>-5.0000000000000001E-3</v>
      </c>
      <c r="AX22" s="13">
        <v>6</v>
      </c>
      <c r="AY22" s="13">
        <v>1010</v>
      </c>
      <c r="BC22">
        <v>11</v>
      </c>
    </row>
    <row r="23" spans="3:55">
      <c r="C23">
        <f t="shared" si="8"/>
        <v>4</v>
      </c>
      <c r="D23" s="1">
        <f t="shared" ref="D22:D55" si="17">+F22*$B$14</f>
        <v>378723.38202600437</v>
      </c>
      <c r="E23" s="1">
        <f t="shared" si="9"/>
        <v>407418.4142879456</v>
      </c>
      <c r="F23" s="1">
        <f t="shared" si="10"/>
        <v>18417903.899014015</v>
      </c>
      <c r="G23" s="1">
        <f>+G22</f>
        <v>786141.79631394998</v>
      </c>
      <c r="K23">
        <f t="shared" si="11"/>
        <v>4</v>
      </c>
      <c r="L23" s="1">
        <f t="shared" si="12"/>
        <v>122933.02919958868</v>
      </c>
      <c r="M23" s="1">
        <f t="shared" si="13"/>
        <v>227668.11128598673</v>
      </c>
      <c r="N23" s="1">
        <f t="shared" si="14"/>
        <v>9106930.1522800997</v>
      </c>
      <c r="O23" s="1">
        <f t="shared" si="16"/>
        <v>350601.14048557542</v>
      </c>
      <c r="Y23" t="s">
        <v>36</v>
      </c>
      <c r="Z23" s="8">
        <f>+Z21/Y21</f>
        <v>6.8627250081888587</v>
      </c>
      <c r="AA23" t="s">
        <v>32</v>
      </c>
      <c r="AC23" t="s">
        <v>33</v>
      </c>
      <c r="AD23" s="6">
        <f>+AA21/Z21/Y21</f>
        <v>7.9923541370958584E-2</v>
      </c>
      <c r="BC23">
        <v>12</v>
      </c>
    </row>
    <row r="24" spans="3:55">
      <c r="C24">
        <f t="shared" si="8"/>
        <v>5</v>
      </c>
      <c r="D24" s="1">
        <f t="shared" si="17"/>
        <v>370527.03472363832</v>
      </c>
      <c r="E24" s="1">
        <f t="shared" si="9"/>
        <v>415614.76159031165</v>
      </c>
      <c r="F24" s="1">
        <f t="shared" si="10"/>
        <v>18002289.137423702</v>
      </c>
      <c r="G24" s="1">
        <f t="shared" si="15"/>
        <v>786141.79631394998</v>
      </c>
      <c r="K24">
        <f t="shared" si="11"/>
        <v>5</v>
      </c>
      <c r="L24" s="1">
        <f t="shared" si="12"/>
        <v>119934.72870691775</v>
      </c>
      <c r="M24" s="1">
        <f t="shared" si="13"/>
        <v>230666.41177865767</v>
      </c>
      <c r="N24" s="1">
        <f t="shared" si="14"/>
        <v>8876263.7405014429</v>
      </c>
      <c r="O24" s="1">
        <f t="shared" si="16"/>
        <v>350601.14048557542</v>
      </c>
      <c r="Y24" t="s">
        <v>35</v>
      </c>
      <c r="Z24" s="3">
        <v>-5.0000000000000001E-3</v>
      </c>
      <c r="BC24">
        <v>13</v>
      </c>
    </row>
    <row r="25" spans="3:55">
      <c r="C25">
        <f t="shared" si="8"/>
        <v>6</v>
      </c>
      <c r="D25" s="1">
        <f t="shared" si="17"/>
        <v>362165.79524471617</v>
      </c>
      <c r="E25" s="1">
        <f t="shared" si="9"/>
        <v>423976.00106923381</v>
      </c>
      <c r="F25" s="1">
        <f t="shared" si="10"/>
        <v>17578313.136354469</v>
      </c>
      <c r="G25" s="1">
        <f t="shared" si="15"/>
        <v>786141.79631394998</v>
      </c>
      <c r="K25">
        <f t="shared" si="11"/>
        <v>6</v>
      </c>
      <c r="L25" s="1">
        <f t="shared" si="12"/>
        <v>116896.94176270309</v>
      </c>
      <c r="M25" s="1">
        <f t="shared" si="13"/>
        <v>233704.19872287233</v>
      </c>
      <c r="N25" s="1">
        <f t="shared" si="14"/>
        <v>8642559.54177857</v>
      </c>
      <c r="O25" s="1">
        <f t="shared" si="16"/>
        <v>350601.14048557542</v>
      </c>
      <c r="Y25" t="s">
        <v>37</v>
      </c>
      <c r="Z25" s="9">
        <f>-Z23*Z24</f>
        <v>3.4313625040944297E-2</v>
      </c>
      <c r="AA25" t="s">
        <v>38</v>
      </c>
      <c r="AB25" t="s">
        <v>39</v>
      </c>
      <c r="AD25" t="s">
        <v>37</v>
      </c>
      <c r="AE25" s="9">
        <f>-Z23*Z24+0.5*AD23*Z24^2</f>
        <v>3.4314624085211437E-2</v>
      </c>
      <c r="AP25" t="s">
        <v>40</v>
      </c>
      <c r="AQ25" s="9">
        <f>-AQ20*AQ22+0.5*AT20*AQ22^2</f>
        <v>2.2670905014129921E-2</v>
      </c>
      <c r="BC25">
        <v>14</v>
      </c>
    </row>
    <row r="26" spans="3:55">
      <c r="C26">
        <f t="shared" si="8"/>
        <v>7</v>
      </c>
      <c r="D26" s="1">
        <f t="shared" si="17"/>
        <v>353636.34632742766</v>
      </c>
      <c r="E26" s="1">
        <f t="shared" si="9"/>
        <v>432505.44998652232</v>
      </c>
      <c r="F26" s="1">
        <f t="shared" si="10"/>
        <v>17145807.686367948</v>
      </c>
      <c r="G26" s="1">
        <f t="shared" si="15"/>
        <v>786141.79631394998</v>
      </c>
      <c r="K26">
        <f t="shared" si="11"/>
        <v>7</v>
      </c>
      <c r="L26" s="1">
        <f t="shared" si="12"/>
        <v>113819.14834573287</v>
      </c>
      <c r="M26" s="1">
        <f t="shared" si="13"/>
        <v>236781.99213984254</v>
      </c>
      <c r="N26" s="1">
        <f t="shared" si="14"/>
        <v>8405777.5496387277</v>
      </c>
      <c r="O26" s="1">
        <f t="shared" si="16"/>
        <v>350601.14048557542</v>
      </c>
      <c r="BC26">
        <v>15</v>
      </c>
    </row>
    <row r="27" spans="3:55">
      <c r="C27">
        <f t="shared" si="8"/>
        <v>8</v>
      </c>
      <c r="D27" s="1">
        <f t="shared" si="17"/>
        <v>344935.30397407402</v>
      </c>
      <c r="E27" s="1">
        <f t="shared" si="9"/>
        <v>441206.49233987596</v>
      </c>
      <c r="F27" s="1">
        <f t="shared" si="10"/>
        <v>16704601.194028072</v>
      </c>
      <c r="G27" s="1">
        <f t="shared" si="15"/>
        <v>786141.79631394998</v>
      </c>
      <c r="K27">
        <f t="shared" si="11"/>
        <v>8</v>
      </c>
      <c r="L27" s="1">
        <f t="shared" si="12"/>
        <v>110700.82158631818</v>
      </c>
      <c r="M27" s="1">
        <f t="shared" si="13"/>
        <v>239900.31889925722</v>
      </c>
      <c r="N27" s="1">
        <f t="shared" si="14"/>
        <v>8165877.2307394706</v>
      </c>
      <c r="O27" s="1">
        <f t="shared" si="16"/>
        <v>350601.14048557542</v>
      </c>
      <c r="Z27" s="2">
        <v>-0.01</v>
      </c>
      <c r="AA27" s="10">
        <f>-$Z$23*Z27</f>
        <v>6.8627250081888594E-2</v>
      </c>
      <c r="AB27" s="10">
        <f>-$Z$23*Z27+Z27^2*0.5*$AD$23</f>
        <v>6.863124625895714E-2</v>
      </c>
      <c r="BC27">
        <v>16</v>
      </c>
    </row>
    <row r="28" spans="3:55">
      <c r="C28">
        <f t="shared" si="8"/>
        <v>9</v>
      </c>
      <c r="D28" s="1">
        <f t="shared" si="17"/>
        <v>336059.216108491</v>
      </c>
      <c r="E28" s="1">
        <f t="shared" si="9"/>
        <v>450082.58020545897</v>
      </c>
      <c r="F28" s="1">
        <f t="shared" si="10"/>
        <v>16254518.613822613</v>
      </c>
      <c r="G28" s="1">
        <f t="shared" si="15"/>
        <v>786141.79631394998</v>
      </c>
      <c r="K28">
        <f t="shared" si="11"/>
        <v>9</v>
      </c>
      <c r="L28" s="1">
        <f t="shared" si="12"/>
        <v>107541.42767610116</v>
      </c>
      <c r="M28" s="1">
        <f t="shared" si="13"/>
        <v>243059.71280947427</v>
      </c>
      <c r="N28" s="1">
        <f t="shared" si="14"/>
        <v>7922817.5179299964</v>
      </c>
      <c r="O28" s="1">
        <f t="shared" si="16"/>
        <v>350601.14048557542</v>
      </c>
      <c r="Z28" s="3">
        <f>+Z27+0.001</f>
        <v>-9.0000000000000011E-3</v>
      </c>
      <c r="AA28" s="10">
        <f t="shared" ref="AA28:AA47" si="18">-$Z$23*Z28</f>
        <v>6.1764525073699734E-2</v>
      </c>
      <c r="AB28" s="10">
        <f t="shared" ref="AB28:AB47" si="19">-$Z$23*Z28+Z28^2*0.5*$AD$23</f>
        <v>6.176776197712526E-2</v>
      </c>
      <c r="BC28">
        <v>17</v>
      </c>
    </row>
    <row r="29" spans="3:55">
      <c r="C29">
        <f t="shared" si="8"/>
        <v>10</v>
      </c>
      <c r="D29" s="1">
        <f t="shared" si="17"/>
        <v>327004.56120646273</v>
      </c>
      <c r="E29" s="1">
        <f t="shared" si="9"/>
        <v>459137.23510748724</v>
      </c>
      <c r="F29" s="1">
        <f t="shared" si="10"/>
        <v>15795381.378715126</v>
      </c>
      <c r="G29" s="1">
        <f t="shared" si="15"/>
        <v>786141.79631394998</v>
      </c>
      <c r="K29">
        <f t="shared" si="11"/>
        <v>10</v>
      </c>
      <c r="L29" s="1">
        <f t="shared" si="12"/>
        <v>104340.42577667547</v>
      </c>
      <c r="M29" s="1">
        <f t="shared" si="13"/>
        <v>246260.71470889996</v>
      </c>
      <c r="N29" s="1">
        <f t="shared" si="14"/>
        <v>7676556.8032210963</v>
      </c>
      <c r="O29" s="1">
        <f t="shared" si="16"/>
        <v>350601.14048557542</v>
      </c>
      <c r="Z29" s="3">
        <f t="shared" ref="Z29:Z48" si="20">+Z28+0.001</f>
        <v>-8.0000000000000002E-3</v>
      </c>
      <c r="AA29" s="10">
        <f t="shared" si="18"/>
        <v>5.4901800065510868E-2</v>
      </c>
      <c r="AB29" s="10">
        <f t="shared" si="19"/>
        <v>5.4904357618834741E-2</v>
      </c>
      <c r="BC29">
        <v>18</v>
      </c>
    </row>
    <row r="30" spans="3:55">
      <c r="C30">
        <f t="shared" si="8"/>
        <v>11</v>
      </c>
      <c r="D30" s="1">
        <f t="shared" si="17"/>
        <v>317767.74689858191</v>
      </c>
      <c r="E30" s="1">
        <f t="shared" si="9"/>
        <v>468374.04941536806</v>
      </c>
      <c r="F30" s="1">
        <f t="shared" si="10"/>
        <v>15327007.329299757</v>
      </c>
      <c r="G30" s="1">
        <f t="shared" si="15"/>
        <v>786141.79631394998</v>
      </c>
      <c r="K30">
        <f t="shared" si="11"/>
        <v>11</v>
      </c>
      <c r="L30" s="1">
        <f t="shared" si="12"/>
        <v>101097.26792700328</v>
      </c>
      <c r="M30" s="1">
        <f t="shared" si="13"/>
        <v>249503.87255857215</v>
      </c>
      <c r="N30" s="1">
        <f t="shared" si="14"/>
        <v>7427052.930662524</v>
      </c>
      <c r="O30" s="1">
        <f t="shared" si="16"/>
        <v>350601.14048557542</v>
      </c>
      <c r="Z30" s="3">
        <f t="shared" si="20"/>
        <v>-7.0000000000000001E-3</v>
      </c>
      <c r="AA30" s="10">
        <f t="shared" si="18"/>
        <v>4.8039075057322009E-2</v>
      </c>
      <c r="AB30" s="10">
        <f t="shared" si="19"/>
        <v>4.8041033184085598E-2</v>
      </c>
      <c r="BC30">
        <v>19</v>
      </c>
    </row>
    <row r="31" spans="3:55">
      <c r="C31">
        <f t="shared" si="8"/>
        <v>12</v>
      </c>
      <c r="D31" s="1">
        <f t="shared" si="17"/>
        <v>308345.10854500299</v>
      </c>
      <c r="E31" s="1">
        <f t="shared" si="9"/>
        <v>477796.68776894698</v>
      </c>
      <c r="F31" s="1">
        <f t="shared" si="10"/>
        <v>14849210.64153081</v>
      </c>
      <c r="G31" s="1">
        <f t="shared" si="15"/>
        <v>786141.79631394998</v>
      </c>
      <c r="K31">
        <f t="shared" si="11"/>
        <v>12</v>
      </c>
      <c r="L31" s="1">
        <f t="shared" si="12"/>
        <v>97811.398949612951</v>
      </c>
      <c r="M31" s="1">
        <f t="shared" si="13"/>
        <v>252789.74153596247</v>
      </c>
      <c r="N31" s="1">
        <f t="shared" si="14"/>
        <v>7174263.1891265614</v>
      </c>
      <c r="O31" s="1">
        <f t="shared" si="16"/>
        <v>350601.14048557542</v>
      </c>
      <c r="P31" s="1">
        <f>+SUM(O20:O31)</f>
        <v>4207213.6858269051</v>
      </c>
      <c r="Z31" s="3">
        <f t="shared" si="20"/>
        <v>-6.0000000000000001E-3</v>
      </c>
      <c r="AA31" s="10">
        <f t="shared" si="18"/>
        <v>4.1176350049133149E-2</v>
      </c>
      <c r="AB31" s="10">
        <f t="shared" si="19"/>
        <v>4.117778867287783E-2</v>
      </c>
      <c r="BC31">
        <v>20</v>
      </c>
    </row>
    <row r="32" spans="3:55">
      <c r="C32">
        <f t="shared" si="8"/>
        <v>13</v>
      </c>
      <c r="D32" s="1">
        <f t="shared" si="17"/>
        <v>298732.90778152301</v>
      </c>
      <c r="E32" s="1">
        <f t="shared" si="9"/>
        <v>487408.88853242696</v>
      </c>
      <c r="F32" s="1">
        <f t="shared" si="10"/>
        <v>14361801.752998384</v>
      </c>
      <c r="G32" s="1">
        <f t="shared" si="15"/>
        <v>786141.79631394998</v>
      </c>
      <c r="K32">
        <f t="shared" si="11"/>
        <v>13</v>
      </c>
      <c r="L32" s="1">
        <f t="shared" si="12"/>
        <v>94482.256355561462</v>
      </c>
      <c r="M32" s="1">
        <f t="shared" si="13"/>
        <v>256118.88413001396</v>
      </c>
      <c r="N32" s="1">
        <f t="shared" si="14"/>
        <v>6918144.3049965473</v>
      </c>
      <c r="O32" s="1">
        <f t="shared" si="16"/>
        <v>350601.14048557542</v>
      </c>
      <c r="P32" s="1">
        <f>+PV(0.021,24,O32)*-1</f>
        <v>6556733.7110632667</v>
      </c>
      <c r="Z32" s="3">
        <f t="shared" si="20"/>
        <v>-5.0000000000000001E-3</v>
      </c>
      <c r="AA32" s="10">
        <f t="shared" si="18"/>
        <v>3.4313625040944297E-2</v>
      </c>
      <c r="AB32" s="10">
        <f t="shared" si="19"/>
        <v>3.4314624085211437E-2</v>
      </c>
      <c r="BC32">
        <v>21</v>
      </c>
    </row>
    <row r="33" spans="3:55">
      <c r="C33">
        <f t="shared" si="8"/>
        <v>14</v>
      </c>
      <c r="D33" s="1">
        <f t="shared" si="17"/>
        <v>288927.33103641181</v>
      </c>
      <c r="E33" s="1">
        <f t="shared" si="9"/>
        <v>497214.46527753817</v>
      </c>
      <c r="F33" s="1">
        <f t="shared" si="10"/>
        <v>13864587.287720846</v>
      </c>
      <c r="G33" s="1">
        <f t="shared" si="15"/>
        <v>786141.79631394998</v>
      </c>
      <c r="K33">
        <f t="shared" si="11"/>
        <v>14</v>
      </c>
      <c r="L33" s="1">
        <f t="shared" si="12"/>
        <v>91109.270248145127</v>
      </c>
      <c r="M33" s="1">
        <f t="shared" si="13"/>
        <v>259491.8702374303</v>
      </c>
      <c r="N33" s="1">
        <f t="shared" si="14"/>
        <v>6658652.4347591167</v>
      </c>
      <c r="O33" s="1">
        <f t="shared" si="16"/>
        <v>350601.14048557542</v>
      </c>
      <c r="Z33" s="3">
        <f t="shared" si="20"/>
        <v>-4.0000000000000001E-3</v>
      </c>
      <c r="AA33" s="10">
        <f t="shared" si="18"/>
        <v>2.7450900032755434E-2</v>
      </c>
      <c r="AB33" s="10">
        <f t="shared" si="19"/>
        <v>2.7451539421086402E-2</v>
      </c>
      <c r="BC33">
        <v>22</v>
      </c>
    </row>
    <row r="34" spans="3:55">
      <c r="C34">
        <f t="shared" si="8"/>
        <v>15</v>
      </c>
      <c r="D34" s="1">
        <f t="shared" si="17"/>
        <v>278924.48801740527</v>
      </c>
      <c r="E34" s="1">
        <f t="shared" si="9"/>
        <v>507217.30829654471</v>
      </c>
      <c r="F34" s="1">
        <f t="shared" si="10"/>
        <v>13357369.979424302</v>
      </c>
      <c r="G34" s="1">
        <f>+G33</f>
        <v>786141.79631394998</v>
      </c>
      <c r="K34">
        <f t="shared" si="11"/>
        <v>15</v>
      </c>
      <c r="L34" s="1">
        <f t="shared" si="12"/>
        <v>87691.863225342284</v>
      </c>
      <c r="M34" s="1">
        <f t="shared" si="13"/>
        <v>262909.27726023312</v>
      </c>
      <c r="N34" s="1">
        <f t="shared" si="14"/>
        <v>6395743.157498884</v>
      </c>
      <c r="O34" s="1">
        <f t="shared" si="16"/>
        <v>350601.14048557542</v>
      </c>
      <c r="Z34" s="3">
        <f t="shared" si="20"/>
        <v>-3.0000000000000001E-3</v>
      </c>
      <c r="AA34" s="10">
        <f t="shared" si="18"/>
        <v>2.0588175024566575E-2</v>
      </c>
      <c r="AB34" s="10">
        <f t="shared" si="19"/>
        <v>2.0588534680502743E-2</v>
      </c>
      <c r="BC34">
        <v>23</v>
      </c>
    </row>
    <row r="35" spans="3:55">
      <c r="C35">
        <f t="shared" si="8"/>
        <v>16</v>
      </c>
      <c r="D35" s="1">
        <f t="shared" si="17"/>
        <v>268720.41016825952</v>
      </c>
      <c r="E35" s="1">
        <f t="shared" si="9"/>
        <v>517421.38614569046</v>
      </c>
      <c r="F35" s="1">
        <f t="shared" si="10"/>
        <v>12839948.593278611</v>
      </c>
      <c r="G35" s="1">
        <f t="shared" si="15"/>
        <v>786141.79631394998</v>
      </c>
      <c r="K35">
        <f t="shared" si="11"/>
        <v>16</v>
      </c>
      <c r="L35" s="1">
        <f t="shared" si="12"/>
        <v>84229.450280971214</v>
      </c>
      <c r="M35" s="1">
        <f t="shared" si="13"/>
        <v>266371.69020460418</v>
      </c>
      <c r="N35" s="1">
        <f t="shared" si="14"/>
        <v>6129371.4672942795</v>
      </c>
      <c r="O35" s="1">
        <f t="shared" si="16"/>
        <v>350601.14048557542</v>
      </c>
      <c r="Z35" s="3">
        <f t="shared" si="20"/>
        <v>-2E-3</v>
      </c>
      <c r="AA35" s="10">
        <f t="shared" si="18"/>
        <v>1.3725450016377717E-2</v>
      </c>
      <c r="AB35" s="10">
        <f t="shared" si="19"/>
        <v>1.3725609863460459E-2</v>
      </c>
      <c r="BC35">
        <v>24</v>
      </c>
    </row>
    <row r="36" spans="3:55">
      <c r="C36">
        <f t="shared" si="8"/>
        <v>17</v>
      </c>
      <c r="D36" s="1">
        <f t="shared" si="17"/>
        <v>258311.04909425476</v>
      </c>
      <c r="E36" s="1">
        <f t="shared" si="9"/>
        <v>527830.74721969524</v>
      </c>
      <c r="F36" s="1">
        <f t="shared" si="10"/>
        <v>12312117.846058916</v>
      </c>
      <c r="G36" s="1">
        <f t="shared" si="15"/>
        <v>786141.79631394998</v>
      </c>
      <c r="K36">
        <f t="shared" si="11"/>
        <v>17</v>
      </c>
      <c r="L36" s="1">
        <f t="shared" si="12"/>
        <v>80721.438704546221</v>
      </c>
      <c r="M36" s="1">
        <f t="shared" si="13"/>
        <v>269879.70178102923</v>
      </c>
      <c r="N36" s="1">
        <f t="shared" si="14"/>
        <v>5859491.7655132506</v>
      </c>
      <c r="O36" s="1">
        <f t="shared" si="16"/>
        <v>350601.14048557542</v>
      </c>
      <c r="Z36" s="3">
        <f t="shared" si="20"/>
        <v>-1E-3</v>
      </c>
      <c r="AA36" s="10">
        <f t="shared" si="18"/>
        <v>6.8627250081888585E-3</v>
      </c>
      <c r="AB36" s="10">
        <f t="shared" si="19"/>
        <v>6.8627649699595436E-3</v>
      </c>
      <c r="BC36">
        <v>25</v>
      </c>
    </row>
    <row r="37" spans="3:55">
      <c r="C37">
        <f t="shared" si="8"/>
        <v>18</v>
      </c>
      <c r="D37" s="1">
        <f t="shared" si="17"/>
        <v>247692.27495602367</v>
      </c>
      <c r="E37" s="1">
        <f t="shared" si="9"/>
        <v>538449.52135792631</v>
      </c>
      <c r="F37" s="1">
        <f t="shared" si="10"/>
        <v>11773668.324700991</v>
      </c>
      <c r="G37" s="1">
        <f t="shared" si="15"/>
        <v>786141.79631394998</v>
      </c>
      <c r="K37">
        <f t="shared" si="11"/>
        <v>18</v>
      </c>
      <c r="L37" s="1">
        <f t="shared" si="12"/>
        <v>77167.227979815056</v>
      </c>
      <c r="M37" s="1">
        <f t="shared" si="13"/>
        <v>273433.91250576038</v>
      </c>
      <c r="N37" s="1">
        <f t="shared" si="14"/>
        <v>5586057.8530074898</v>
      </c>
      <c r="O37" s="1">
        <f t="shared" si="16"/>
        <v>350601.14048557542</v>
      </c>
      <c r="Z37" s="3">
        <f t="shared" si="20"/>
        <v>0</v>
      </c>
      <c r="AA37" s="10">
        <f t="shared" si="18"/>
        <v>0</v>
      </c>
      <c r="AB37" s="10">
        <f t="shared" si="19"/>
        <v>0</v>
      </c>
      <c r="BC37">
        <v>26</v>
      </c>
    </row>
    <row r="38" spans="3:55">
      <c r="C38">
        <f t="shared" si="8"/>
        <v>19</v>
      </c>
      <c r="D38" s="1">
        <f t="shared" si="17"/>
        <v>236859.87483106725</v>
      </c>
      <c r="E38" s="1">
        <f t="shared" si="9"/>
        <v>549281.9214828827</v>
      </c>
      <c r="F38" s="1">
        <f t="shared" si="10"/>
        <v>11224386.403218107</v>
      </c>
      <c r="G38" s="1">
        <f t="shared" si="15"/>
        <v>786141.79631394998</v>
      </c>
      <c r="K38">
        <f t="shared" si="11"/>
        <v>19</v>
      </c>
      <c r="L38" s="1">
        <f t="shared" si="12"/>
        <v>73566.209681959896</v>
      </c>
      <c r="M38" s="1">
        <f t="shared" si="13"/>
        <v>277034.93080361554</v>
      </c>
      <c r="N38" s="1">
        <f t="shared" si="14"/>
        <v>5309022.9222038742</v>
      </c>
      <c r="O38" s="1">
        <f t="shared" si="16"/>
        <v>350601.14048557542</v>
      </c>
      <c r="Z38" s="3">
        <f t="shared" si="20"/>
        <v>1E-3</v>
      </c>
      <c r="AA38" s="10">
        <f t="shared" si="18"/>
        <v>-6.8627250081888585E-3</v>
      </c>
      <c r="AB38" s="10">
        <f t="shared" si="19"/>
        <v>-6.8626850464181734E-3</v>
      </c>
      <c r="BC38">
        <v>27</v>
      </c>
    </row>
    <row r="39" spans="3:55">
      <c r="C39">
        <f t="shared" si="8"/>
        <v>20</v>
      </c>
      <c r="D39" s="1">
        <f t="shared" si="17"/>
        <v>225809.55104230807</v>
      </c>
      <c r="E39" s="1">
        <f t="shared" si="9"/>
        <v>560332.24527164188</v>
      </c>
      <c r="F39" s="1">
        <f t="shared" si="10"/>
        <v>10664054.157946466</v>
      </c>
      <c r="G39" s="1">
        <f t="shared" si="15"/>
        <v>786141.79631394998</v>
      </c>
      <c r="K39">
        <f t="shared" si="11"/>
        <v>20</v>
      </c>
      <c r="L39" s="1">
        <f t="shared" si="12"/>
        <v>69917.767373444702</v>
      </c>
      <c r="M39" s="1">
        <f t="shared" si="13"/>
        <v>280683.37311213074</v>
      </c>
      <c r="N39" s="1">
        <f t="shared" si="14"/>
        <v>5028339.5490917433</v>
      </c>
      <c r="O39" s="1">
        <f t="shared" si="16"/>
        <v>350601.14048557542</v>
      </c>
      <c r="Z39" s="3">
        <f t="shared" si="20"/>
        <v>2E-3</v>
      </c>
      <c r="AA39" s="10">
        <f t="shared" si="18"/>
        <v>-1.3725450016377717E-2</v>
      </c>
      <c r="AB39" s="10">
        <f t="shared" si="19"/>
        <v>-1.3725290169294975E-2</v>
      </c>
      <c r="BC39">
        <v>28</v>
      </c>
    </row>
    <row r="40" spans="3:55">
      <c r="C40">
        <f t="shared" si="8"/>
        <v>21</v>
      </c>
      <c r="D40" s="1">
        <f t="shared" si="17"/>
        <v>214536.91945301768</v>
      </c>
      <c r="E40" s="1">
        <f t="shared" si="9"/>
        <v>571604.87686093233</v>
      </c>
      <c r="F40" s="1">
        <f t="shared" si="10"/>
        <v>10092449.281085534</v>
      </c>
      <c r="G40" s="1">
        <f t="shared" si="15"/>
        <v>786141.79631394998</v>
      </c>
      <c r="K40">
        <f t="shared" si="11"/>
        <v>21</v>
      </c>
      <c r="L40" s="1">
        <f>+N39*$L$14</f>
        <v>66221.276498490799</v>
      </c>
      <c r="M40" s="1">
        <f t="shared" si="13"/>
        <v>284379.86398708459</v>
      </c>
      <c r="N40" s="1">
        <f t="shared" si="14"/>
        <v>4743959.6851046588</v>
      </c>
      <c r="O40" s="1">
        <f t="shared" si="16"/>
        <v>350601.14048557542</v>
      </c>
      <c r="Z40" s="3">
        <f t="shared" si="20"/>
        <v>3.0000000000000001E-3</v>
      </c>
      <c r="AA40" s="10">
        <f t="shared" si="18"/>
        <v>-2.0588175024566575E-2</v>
      </c>
      <c r="AB40" s="10">
        <f t="shared" si="19"/>
        <v>-2.0587815368630406E-2</v>
      </c>
      <c r="BC40">
        <v>29</v>
      </c>
    </row>
    <row r="41" spans="3:55">
      <c r="C41">
        <f t="shared" si="8"/>
        <v>22</v>
      </c>
      <c r="D41" s="1">
        <f t="shared" si="17"/>
        <v>203037.50772744181</v>
      </c>
      <c r="E41" s="1">
        <f t="shared" si="9"/>
        <v>583104.28858650813</v>
      </c>
      <c r="F41" s="1">
        <f t="shared" si="10"/>
        <v>9509344.9924990255</v>
      </c>
      <c r="G41" s="1">
        <f t="shared" si="15"/>
        <v>786141.79631394998</v>
      </c>
      <c r="K41">
        <f t="shared" si="11"/>
        <v>22</v>
      </c>
      <c r="L41" s="1">
        <f t="shared" si="12"/>
        <v>62476.104276162754</v>
      </c>
      <c r="M41" s="1">
        <f t="shared" si="13"/>
        <v>288125.03620941268</v>
      </c>
      <c r="N41" s="1">
        <f t="shared" si="14"/>
        <v>4455834.648895246</v>
      </c>
      <c r="O41" s="1">
        <f t="shared" si="16"/>
        <v>350601.14048557542</v>
      </c>
      <c r="Z41" s="3">
        <f t="shared" si="20"/>
        <v>4.0000000000000001E-3</v>
      </c>
      <c r="AA41" s="10">
        <f t="shared" si="18"/>
        <v>-2.7450900032755434E-2</v>
      </c>
      <c r="AB41" s="10">
        <f t="shared" si="19"/>
        <v>-2.7450260644424466E-2</v>
      </c>
      <c r="BC41">
        <v>30</v>
      </c>
    </row>
    <row r="42" spans="3:55">
      <c r="C42">
        <f>+C41+1</f>
        <v>23</v>
      </c>
      <c r="D42" s="1">
        <f t="shared" si="17"/>
        <v>191306.75355643313</v>
      </c>
      <c r="E42" s="1">
        <f t="shared" si="9"/>
        <v>594835.04275751684</v>
      </c>
      <c r="F42" s="1">
        <f t="shared" si="10"/>
        <v>8914509.9497415088</v>
      </c>
      <c r="G42" s="1">
        <f t="shared" si="15"/>
        <v>786141.79631394998</v>
      </c>
      <c r="K42">
        <f>+K41+1</f>
        <v>23</v>
      </c>
      <c r="L42" s="1">
        <f t="shared" si="12"/>
        <v>58681.60959204629</v>
      </c>
      <c r="M42" s="1">
        <f t="shared" si="13"/>
        <v>291919.53089352913</v>
      </c>
      <c r="N42" s="1">
        <f t="shared" si="14"/>
        <v>4163915.1180017167</v>
      </c>
      <c r="O42" s="1">
        <f t="shared" si="16"/>
        <v>350601.14048557542</v>
      </c>
      <c r="Z42" s="3">
        <f t="shared" si="20"/>
        <v>5.0000000000000001E-3</v>
      </c>
      <c r="AA42" s="10">
        <f t="shared" si="18"/>
        <v>-3.4313625040944297E-2</v>
      </c>
      <c r="AB42" s="10">
        <f t="shared" si="19"/>
        <v>-3.4312625996677157E-2</v>
      </c>
    </row>
    <row r="43" spans="3:55">
      <c r="C43">
        <f t="shared" si="8"/>
        <v>24</v>
      </c>
      <c r="D43" s="1">
        <f t="shared" si="17"/>
        <v>179340.00284738798</v>
      </c>
      <c r="E43" s="1">
        <f t="shared" si="9"/>
        <v>606801.79346656194</v>
      </c>
      <c r="F43" s="1">
        <f t="shared" si="10"/>
        <v>8307708.1562749464</v>
      </c>
      <c r="G43" s="1">
        <f t="shared" si="15"/>
        <v>786141.79631394998</v>
      </c>
      <c r="K43">
        <f t="shared" ref="K43:K55" si="21">+K42+1</f>
        <v>24</v>
      </c>
      <c r="L43" s="1">
        <f t="shared" si="12"/>
        <v>54837.142888499613</v>
      </c>
      <c r="M43" s="1">
        <f t="shared" si="13"/>
        <v>295763.99759707582</v>
      </c>
      <c r="N43" s="1">
        <f t="shared" si="14"/>
        <v>3868151.1204046407</v>
      </c>
      <c r="O43" s="1">
        <f t="shared" si="16"/>
        <v>350601.14048557542</v>
      </c>
      <c r="Z43" s="3">
        <f t="shared" si="20"/>
        <v>6.0000000000000001E-3</v>
      </c>
      <c r="AA43" s="10">
        <f t="shared" si="18"/>
        <v>-4.1176350049133149E-2</v>
      </c>
      <c r="AB43" s="10">
        <f t="shared" si="19"/>
        <v>-4.1174911425388469E-2</v>
      </c>
    </row>
    <row r="44" spans="3:55">
      <c r="C44">
        <f t="shared" si="8"/>
        <v>25</v>
      </c>
      <c r="D44" s="1">
        <f t="shared" si="17"/>
        <v>167132.50787776837</v>
      </c>
      <c r="E44" s="1">
        <f t="shared" si="9"/>
        <v>619009.28843618161</v>
      </c>
      <c r="F44" s="1">
        <f t="shared" si="10"/>
        <v>7688698.8678387646</v>
      </c>
      <c r="G44" s="1">
        <f t="shared" si="15"/>
        <v>786141.79631394998</v>
      </c>
      <c r="K44">
        <f t="shared" si="21"/>
        <v>25</v>
      </c>
      <c r="L44" s="1">
        <f t="shared" si="12"/>
        <v>50942.046053459366</v>
      </c>
      <c r="M44" s="1">
        <f t="shared" si="13"/>
        <v>299659.09443211608</v>
      </c>
      <c r="N44" s="1">
        <f t="shared" si="14"/>
        <v>3568492.0259725247</v>
      </c>
      <c r="O44" s="1">
        <f t="shared" si="16"/>
        <v>350601.14048557542</v>
      </c>
      <c r="Z44" s="3">
        <f t="shared" si="20"/>
        <v>7.0000000000000001E-3</v>
      </c>
      <c r="AA44" s="10">
        <f t="shared" si="18"/>
        <v>-4.8039075057322009E-2</v>
      </c>
      <c r="AB44" s="10">
        <f t="shared" si="19"/>
        <v>-4.803711693055842E-2</v>
      </c>
    </row>
    <row r="45" spans="3:55">
      <c r="C45">
        <f t="shared" si="8"/>
        <v>26</v>
      </c>
      <c r="D45" s="1">
        <f t="shared" si="17"/>
        <v>154679.42541147716</v>
      </c>
      <c r="E45" s="1">
        <f t="shared" si="9"/>
        <v>631462.37090247287</v>
      </c>
      <c r="F45" s="1">
        <f t="shared" si="10"/>
        <v>7057236.4969362915</v>
      </c>
      <c r="G45" s="1">
        <f t="shared" si="15"/>
        <v>786141.79631394998</v>
      </c>
      <c r="K45">
        <f t="shared" si="21"/>
        <v>26</v>
      </c>
      <c r="L45" s="1">
        <f t="shared" si="12"/>
        <v>46995.652307782257</v>
      </c>
      <c r="M45" s="1">
        <f t="shared" si="13"/>
        <v>303605.48817779316</v>
      </c>
      <c r="N45" s="1">
        <f t="shared" si="14"/>
        <v>3264886.5377947316</v>
      </c>
      <c r="O45" s="1">
        <f t="shared" si="16"/>
        <v>350601.14048557542</v>
      </c>
      <c r="Z45" s="3">
        <f>+Z44+0.001</f>
        <v>8.0000000000000002E-3</v>
      </c>
      <c r="AA45" s="10">
        <f t="shared" si="18"/>
        <v>-5.4901800065510868E-2</v>
      </c>
      <c r="AB45" s="10">
        <f t="shared" si="19"/>
        <v>-5.4899242512186995E-2</v>
      </c>
      <c r="AM45">
        <v>1</v>
      </c>
    </row>
    <row r="46" spans="3:55">
      <c r="C46">
        <f t="shared" si="8"/>
        <v>27</v>
      </c>
      <c r="D46" s="1">
        <f t="shared" si="17"/>
        <v>141975.81477733888</v>
      </c>
      <c r="E46" s="1">
        <f t="shared" si="9"/>
        <v>644165.9815366111</v>
      </c>
      <c r="F46" s="1">
        <f t="shared" si="10"/>
        <v>6413070.5153996805</v>
      </c>
      <c r="G46" s="1">
        <f t="shared" si="15"/>
        <v>786141.79631394998</v>
      </c>
      <c r="K46">
        <f t="shared" si="21"/>
        <v>27</v>
      </c>
      <c r="L46" s="1">
        <f t="shared" si="12"/>
        <v>42997.286091102942</v>
      </c>
      <c r="M46" s="1">
        <f t="shared" si="13"/>
        <v>307603.8543944725</v>
      </c>
      <c r="N46" s="1">
        <f t="shared" si="14"/>
        <v>2957282.6834002589</v>
      </c>
      <c r="O46" s="1">
        <f t="shared" si="16"/>
        <v>350601.14048557542</v>
      </c>
      <c r="Z46" s="3">
        <f t="shared" si="20"/>
        <v>9.0000000000000011E-3</v>
      </c>
      <c r="AA46" s="10">
        <f t="shared" si="18"/>
        <v>-6.1764525073699734E-2</v>
      </c>
      <c r="AB46" s="10">
        <f t="shared" si="19"/>
        <v>-6.1761288170274209E-2</v>
      </c>
      <c r="AM46">
        <v>2</v>
      </c>
    </row>
    <row r="47" spans="3:55">
      <c r="C47">
        <f t="shared" si="8"/>
        <v>28</v>
      </c>
      <c r="D47" s="1">
        <f t="shared" si="17"/>
        <v>129016.63590892377</v>
      </c>
      <c r="E47" s="1">
        <f t="shared" si="9"/>
        <v>657125.16040502617</v>
      </c>
      <c r="F47" s="1">
        <f t="shared" si="10"/>
        <v>5755945.3549946547</v>
      </c>
      <c r="G47" s="1">
        <f t="shared" si="15"/>
        <v>786141.79631394998</v>
      </c>
      <c r="K47">
        <f t="shared" si="21"/>
        <v>28</v>
      </c>
      <c r="L47" s="1">
        <f t="shared" si="12"/>
        <v>38946.262946188785</v>
      </c>
      <c r="M47" s="1">
        <f t="shared" si="13"/>
        <v>311654.87753938662</v>
      </c>
      <c r="N47" s="1">
        <f t="shared" si="14"/>
        <v>2645627.8058608724</v>
      </c>
      <c r="O47" s="1">
        <f t="shared" si="16"/>
        <v>350601.14048557542</v>
      </c>
      <c r="Z47" s="3">
        <f t="shared" si="20"/>
        <v>1.0000000000000002E-2</v>
      </c>
      <c r="AA47" s="10">
        <f t="shared" si="18"/>
        <v>-6.8627250081888594E-2</v>
      </c>
      <c r="AB47" s="10">
        <f t="shared" si="19"/>
        <v>-6.8623253904820047E-2</v>
      </c>
      <c r="AM47">
        <v>3</v>
      </c>
    </row>
    <row r="48" spans="3:55">
      <c r="C48">
        <f t="shared" si="8"/>
        <v>29</v>
      </c>
      <c r="D48" s="1">
        <f t="shared" si="17"/>
        <v>115796.74734493773</v>
      </c>
      <c r="E48" s="1">
        <f t="shared" si="9"/>
        <v>670345.04896901222</v>
      </c>
      <c r="F48" s="1">
        <f t="shared" si="10"/>
        <v>5085600.3060256429</v>
      </c>
      <c r="G48" s="1">
        <f t="shared" si="15"/>
        <v>786141.79631394998</v>
      </c>
      <c r="K48">
        <f t="shared" si="21"/>
        <v>29</v>
      </c>
      <c r="L48" s="1">
        <f t="shared" si="12"/>
        <v>34841.889401771557</v>
      </c>
      <c r="M48" s="1">
        <f t="shared" si="13"/>
        <v>315759.25108380389</v>
      </c>
      <c r="N48" s="1">
        <f t="shared" si="14"/>
        <v>2329868.5547770686</v>
      </c>
      <c r="O48" s="1">
        <f t="shared" si="16"/>
        <v>350601.14048557542</v>
      </c>
      <c r="Z48" s="3"/>
      <c r="AM48">
        <v>4</v>
      </c>
    </row>
    <row r="49" spans="3:39">
      <c r="C49">
        <f t="shared" si="8"/>
        <v>30</v>
      </c>
      <c r="D49" s="1">
        <f t="shared" si="17"/>
        <v>102310.90418938424</v>
      </c>
      <c r="E49" s="1">
        <f t="shared" si="9"/>
        <v>683830.89212456578</v>
      </c>
      <c r="F49" s="1">
        <f t="shared" si="10"/>
        <v>4401769.4139010776</v>
      </c>
      <c r="G49" s="1">
        <f t="shared" si="15"/>
        <v>786141.79631394998</v>
      </c>
      <c r="K49">
        <f t="shared" si="21"/>
        <v>30</v>
      </c>
      <c r="L49" s="1">
        <f t="shared" si="12"/>
        <v>30683.462853836088</v>
      </c>
      <c r="M49" s="1">
        <f t="shared" si="13"/>
        <v>319917.67763173935</v>
      </c>
      <c r="N49" s="1">
        <f t="shared" si="14"/>
        <v>2009950.8771453293</v>
      </c>
      <c r="O49" s="1">
        <f t="shared" si="16"/>
        <v>350601.14048557542</v>
      </c>
      <c r="AM49">
        <v>5</v>
      </c>
    </row>
    <row r="50" spans="3:39">
      <c r="C50">
        <f>+C49+1</f>
        <v>31</v>
      </c>
      <c r="D50" s="1">
        <f t="shared" si="17"/>
        <v>88553.756030689605</v>
      </c>
      <c r="E50" s="1">
        <f t="shared" si="9"/>
        <v>697588.0402832604</v>
      </c>
      <c r="F50" s="1">
        <f t="shared" si="10"/>
        <v>3704181.3736178172</v>
      </c>
      <c r="G50" s="1">
        <f t="shared" si="15"/>
        <v>786141.79631394998</v>
      </c>
      <c r="K50">
        <f>+K49+1</f>
        <v>31</v>
      </c>
      <c r="L50" s="1">
        <f t="shared" si="12"/>
        <v>26470.271445345563</v>
      </c>
      <c r="M50" s="1">
        <f t="shared" si="13"/>
        <v>324130.86904022988</v>
      </c>
      <c r="N50" s="1">
        <f t="shared" si="14"/>
        <v>1685820.0081050994</v>
      </c>
      <c r="O50" s="1">
        <f t="shared" si="16"/>
        <v>350601.14048557542</v>
      </c>
      <c r="AM50">
        <v>6</v>
      </c>
    </row>
    <row r="51" spans="3:39">
      <c r="C51">
        <f t="shared" si="8"/>
        <v>32</v>
      </c>
      <c r="D51" s="1">
        <f t="shared" si="17"/>
        <v>74519.844818965459</v>
      </c>
      <c r="E51" s="1">
        <f t="shared" si="9"/>
        <v>711621.95149498456</v>
      </c>
      <c r="F51" s="1">
        <f t="shared" si="10"/>
        <v>2992559.4221228324</v>
      </c>
      <c r="G51" s="1">
        <f t="shared" si="15"/>
        <v>786141.79631394998</v>
      </c>
      <c r="K51">
        <f t="shared" ref="K51:K55" si="22">+K50+1</f>
        <v>32</v>
      </c>
      <c r="L51" s="1">
        <f t="shared" si="12"/>
        <v>22201.593944382799</v>
      </c>
      <c r="M51" s="1">
        <f t="shared" si="13"/>
        <v>328399.54654119263</v>
      </c>
      <c r="N51" s="1">
        <f t="shared" si="14"/>
        <v>1357420.4615639069</v>
      </c>
      <c r="O51" s="1">
        <f t="shared" si="16"/>
        <v>350601.14048557542</v>
      </c>
      <c r="AM51">
        <v>7</v>
      </c>
    </row>
    <row r="52" spans="3:39">
      <c r="C52">
        <f t="shared" si="8"/>
        <v>33</v>
      </c>
      <c r="D52" s="1">
        <f t="shared" si="17"/>
        <v>60203.602700566684</v>
      </c>
      <c r="E52" s="1">
        <f t="shared" si="9"/>
        <v>725938.19361338334</v>
      </c>
      <c r="F52" s="1">
        <f t="shared" si="10"/>
        <v>2266621.2285094489</v>
      </c>
      <c r="G52" s="1">
        <f t="shared" si="15"/>
        <v>786141.79631394998</v>
      </c>
      <c r="K52">
        <f t="shared" si="22"/>
        <v>33</v>
      </c>
      <c r="L52" s="1">
        <f t="shared" si="12"/>
        <v>17876.699620686737</v>
      </c>
      <c r="M52" s="1">
        <f t="shared" si="13"/>
        <v>332724.44086488866</v>
      </c>
      <c r="N52" s="1">
        <f t="shared" si="14"/>
        <v>1024696.0206990181</v>
      </c>
      <c r="O52" s="1">
        <f t="shared" si="16"/>
        <v>350601.14048557542</v>
      </c>
    </row>
    <row r="53" spans="3:39">
      <c r="C53">
        <f t="shared" si="8"/>
        <v>34</v>
      </c>
      <c r="D53" s="1">
        <f t="shared" si="17"/>
        <v>45599.349809085317</v>
      </c>
      <c r="E53" s="1">
        <f t="shared" si="9"/>
        <v>740542.44650486461</v>
      </c>
      <c r="F53" s="1">
        <f t="shared" si="10"/>
        <v>1526078.7820045843</v>
      </c>
      <c r="G53" s="1">
        <f t="shared" si="15"/>
        <v>786141.79631394998</v>
      </c>
      <c r="K53">
        <f t="shared" si="22"/>
        <v>34</v>
      </c>
      <c r="L53" s="1">
        <f t="shared" si="12"/>
        <v>13494.848120562923</v>
      </c>
      <c r="M53" s="1">
        <f t="shared" si="13"/>
        <v>337106.29236501252</v>
      </c>
      <c r="N53" s="1">
        <f t="shared" si="14"/>
        <v>687589.72833400569</v>
      </c>
      <c r="O53" s="1">
        <f t="shared" si="16"/>
        <v>350601.14048557542</v>
      </c>
    </row>
    <row r="54" spans="3:39">
      <c r="C54">
        <f t="shared" si="8"/>
        <v>35</v>
      </c>
      <c r="D54" s="1">
        <f t="shared" si="17"/>
        <v>30701.292011904316</v>
      </c>
      <c r="E54" s="1">
        <f t="shared" si="9"/>
        <v>755440.50430204568</v>
      </c>
      <c r="F54" s="1">
        <f t="shared" si="10"/>
        <v>770638.27770253865</v>
      </c>
      <c r="G54" s="1">
        <f t="shared" si="15"/>
        <v>786141.79631394998</v>
      </c>
      <c r="K54">
        <f t="shared" si="22"/>
        <v>35</v>
      </c>
      <c r="L54" s="1">
        <f t="shared" si="12"/>
        <v>9055.2893401466681</v>
      </c>
      <c r="M54" s="1">
        <f t="shared" si="13"/>
        <v>341545.85114542878</v>
      </c>
      <c r="N54" s="1">
        <f t="shared" si="14"/>
        <v>346043.87718857691</v>
      </c>
      <c r="O54" s="1">
        <f t="shared" si="16"/>
        <v>350601.14048557542</v>
      </c>
    </row>
    <row r="55" spans="3:39">
      <c r="C55">
        <f t="shared" si="8"/>
        <v>36</v>
      </c>
      <c r="D55" s="1">
        <f t="shared" si="17"/>
        <v>15503.518611416994</v>
      </c>
      <c r="E55" s="1">
        <f t="shared" si="9"/>
        <v>770638.27770253294</v>
      </c>
      <c r="F55" s="1">
        <f t="shared" si="10"/>
        <v>5.7043507695198059E-9</v>
      </c>
      <c r="G55" s="1">
        <f t="shared" si="15"/>
        <v>786141.79631394998</v>
      </c>
      <c r="K55">
        <f t="shared" si="22"/>
        <v>36</v>
      </c>
      <c r="L55" s="1">
        <f t="shared" si="12"/>
        <v>4557.2632969970591</v>
      </c>
      <c r="M55" s="1">
        <f t="shared" si="13"/>
        <v>346043.87718857836</v>
      </c>
      <c r="N55" s="1">
        <f t="shared" si="14"/>
        <v>-1.4551915228366852E-9</v>
      </c>
      <c r="O55" s="1">
        <f t="shared" si="16"/>
        <v>350601.14048557542</v>
      </c>
    </row>
    <row r="56" spans="3:39">
      <c r="D56" s="1">
        <f>+SUM(D20:D55)</f>
        <v>8301104.6673022015</v>
      </c>
      <c r="L56" s="1">
        <f>+SUM(L20:L55)</f>
        <v>2621641.0574807147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41EAD5CA15C74C93B93F4DE618FC0D" ma:contentTypeVersion="0" ma:contentTypeDescription="Create a new document." ma:contentTypeScope="" ma:versionID="9208a68d7ed5936e105197c1fb81f6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116AB6-F5F0-494C-A0DD-74EC71A7A479}"/>
</file>

<file path=customXml/itemProps2.xml><?xml version="1.0" encoding="utf-8"?>
<ds:datastoreItem xmlns:ds="http://schemas.openxmlformats.org/officeDocument/2006/customXml" ds:itemID="{1D91E800-EBB6-41E1-B133-72122657E50F}"/>
</file>

<file path=customXml/itemProps3.xml><?xml version="1.0" encoding="utf-8"?>
<ds:datastoreItem xmlns:ds="http://schemas.openxmlformats.org/officeDocument/2006/customXml" ds:itemID="{61F62E39-04F2-47BC-907B-C47CC6DF4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Angel Melo Rinta</cp:lastModifiedBy>
  <cp:revision/>
  <dcterms:created xsi:type="dcterms:W3CDTF">2025-02-11T12:03:18Z</dcterms:created>
  <dcterms:modified xsi:type="dcterms:W3CDTF">2025-04-06T02:41:35Z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0x0101001C41EAD5CA15C74C93B93F4DE618FC0D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