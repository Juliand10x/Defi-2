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1.xml" ContentType="application/vnd.openxmlformats-officedocument.spreadsheetml.worksheet+xml"/>
  <Override PartName="/xl/chartsheets/sheet7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C:\Users\salonesf\Downloads\"/>
    </mc:Choice>
  </mc:AlternateContent>
  <xr:revisionPtr revIDLastSave="1" documentId="13_ncr:1_{6E3D9E3C-510D-427A-B9BC-C50B83A0FBB2}" xr6:coauthVersionLast="47" xr6:coauthVersionMax="47" xr10:uidLastSave="{1BB3B247-8A80-4E2C-8C53-6567E3DB576D}"/>
  <bookViews>
    <workbookView xWindow="-120" yWindow="-120" windowWidth="29040" windowHeight="15720" firstSheet="6" activeTab="6" xr2:uid="{00000000-000D-0000-FFFF-FFFF00000000}"/>
  </bookViews>
  <sheets>
    <sheet name="Gráfico1" sheetId="2" r:id="rId1"/>
    <sheet name="Gráfico2" sheetId="3" r:id="rId2"/>
    <sheet name="Gráfico3" sheetId="4" r:id="rId3"/>
    <sheet name="Gráfico4" sheetId="5" r:id="rId4"/>
    <sheet name="Gráfico5" sheetId="6" r:id="rId5"/>
    <sheet name="Gráfico6" sheetId="7" r:id="rId6"/>
    <sheet name="MBS" sheetId="9" r:id="rId7"/>
    <sheet name="Gráfico7" sheetId="8" r:id="rId8"/>
    <sheet name="GBM" sheetId="1" r:id="rId9"/>
    <sheet name="Hoja2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9" l="1"/>
  <c r="L10" i="9"/>
  <c r="L9" i="9"/>
  <c r="J15" i="9"/>
  <c r="J10" i="9"/>
  <c r="J9" i="9"/>
  <c r="J8" i="9"/>
  <c r="E10" i="9"/>
  <c r="C10" i="9"/>
  <c r="C9" i="9"/>
  <c r="E9" i="9" s="1"/>
  <c r="C18" i="9" s="1"/>
  <c r="C15" i="9"/>
  <c r="C8" i="9"/>
  <c r="P68" i="1"/>
  <c r="Q68" i="1" s="1"/>
  <c r="R68" i="1" s="1"/>
  <c r="S68" i="1" s="1"/>
  <c r="T68" i="1" s="1"/>
  <c r="U68" i="1" s="1"/>
  <c r="V68" i="1" s="1"/>
  <c r="W68" i="1" s="1"/>
  <c r="X68" i="1" s="1"/>
  <c r="K49" i="1"/>
  <c r="K51" i="1"/>
  <c r="K52" i="1" s="1"/>
  <c r="K53" i="1" s="1"/>
  <c r="K50" i="1"/>
  <c r="M48" i="1"/>
  <c r="N48" i="1" s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AG48" i="1" s="1"/>
  <c r="AH48" i="1" s="1"/>
  <c r="AI48" i="1" s="1"/>
  <c r="AJ48" i="1" s="1"/>
  <c r="AK48" i="1" s="1"/>
  <c r="AL48" i="1" s="1"/>
  <c r="AM48" i="1" s="1"/>
  <c r="AN48" i="1" s="1"/>
  <c r="AO48" i="1" s="1"/>
  <c r="AP48" i="1" s="1"/>
  <c r="AQ48" i="1" s="1"/>
  <c r="AR48" i="1" s="1"/>
  <c r="AS48" i="1" s="1"/>
  <c r="AT48" i="1" s="1"/>
  <c r="AU48" i="1" s="1"/>
  <c r="AV48" i="1" s="1"/>
  <c r="AW48" i="1" s="1"/>
  <c r="AX48" i="1" s="1"/>
  <c r="AY48" i="1" s="1"/>
  <c r="AZ48" i="1" s="1"/>
  <c r="BA48" i="1" s="1"/>
  <c r="BB48" i="1" s="1"/>
  <c r="BC48" i="1" s="1"/>
  <c r="BD48" i="1" s="1"/>
  <c r="BE48" i="1" s="1"/>
  <c r="BF48" i="1" s="1"/>
  <c r="BG48" i="1" s="1"/>
  <c r="BH48" i="1" s="1"/>
  <c r="BI48" i="1" s="1"/>
  <c r="BJ48" i="1" s="1"/>
  <c r="BK48" i="1" s="1"/>
  <c r="BL48" i="1" s="1"/>
  <c r="BM48" i="1" s="1"/>
  <c r="BN48" i="1" s="1"/>
  <c r="BO48" i="1" s="1"/>
  <c r="BP48" i="1" s="1"/>
  <c r="BQ48" i="1" s="1"/>
  <c r="BR48" i="1" s="1"/>
  <c r="BS48" i="1" s="1"/>
  <c r="BT48" i="1" s="1"/>
  <c r="BU48" i="1" s="1"/>
  <c r="BV48" i="1" s="1"/>
  <c r="BW48" i="1" s="1"/>
  <c r="BX48" i="1" s="1"/>
  <c r="BY48" i="1" s="1"/>
  <c r="BZ48" i="1" s="1"/>
  <c r="CA48" i="1" s="1"/>
  <c r="CB48" i="1" s="1"/>
  <c r="CC48" i="1" s="1"/>
  <c r="CD48" i="1" s="1"/>
  <c r="CE48" i="1" s="1"/>
  <c r="CF48" i="1" s="1"/>
  <c r="CG48" i="1" s="1"/>
  <c r="CH48" i="1" s="1"/>
  <c r="CI48" i="1" s="1"/>
  <c r="CJ48" i="1" s="1"/>
  <c r="CK48" i="1" s="1"/>
  <c r="CL48" i="1" s="1"/>
  <c r="CM48" i="1" s="1"/>
  <c r="CN48" i="1" s="1"/>
  <c r="CO48" i="1" s="1"/>
  <c r="CP48" i="1" s="1"/>
  <c r="CQ48" i="1" s="1"/>
  <c r="CR48" i="1" s="1"/>
  <c r="CS48" i="1" s="1"/>
  <c r="CT48" i="1" s="1"/>
  <c r="CU48" i="1" s="1"/>
  <c r="CV48" i="1" s="1"/>
  <c r="CW48" i="1" s="1"/>
  <c r="CX48" i="1" s="1"/>
  <c r="CY48" i="1" s="1"/>
  <c r="CZ48" i="1" s="1"/>
  <c r="DA48" i="1" s="1"/>
  <c r="DB48" i="1" s="1"/>
  <c r="DC48" i="1" s="1"/>
  <c r="DD48" i="1" s="1"/>
  <c r="DE48" i="1" s="1"/>
  <c r="DF48" i="1" s="1"/>
  <c r="DG48" i="1" s="1"/>
  <c r="K38" i="1"/>
  <c r="K39" i="1" s="1"/>
  <c r="K40" i="1" s="1"/>
  <c r="K41" i="1" s="1"/>
  <c r="K42" i="1" s="1"/>
  <c r="K43" i="1" s="1"/>
  <c r="K44" i="1" s="1"/>
  <c r="K45" i="1" s="1"/>
  <c r="K46" i="1" s="1"/>
  <c r="M36" i="1"/>
  <c r="N36" i="1" s="1"/>
  <c r="O36" i="1" s="1"/>
  <c r="P36" i="1" s="1"/>
  <c r="Q36" i="1" s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G36" i="1" s="1"/>
  <c r="AH36" i="1" s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T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G36" i="1" s="1"/>
  <c r="BH36" i="1" s="1"/>
  <c r="BI36" i="1" s="1"/>
  <c r="BJ36" i="1" s="1"/>
  <c r="BK36" i="1" s="1"/>
  <c r="BL36" i="1" s="1"/>
  <c r="BM36" i="1" s="1"/>
  <c r="BN36" i="1" s="1"/>
  <c r="BO36" i="1" s="1"/>
  <c r="BP36" i="1" s="1"/>
  <c r="BQ36" i="1" s="1"/>
  <c r="BR36" i="1" s="1"/>
  <c r="BS36" i="1" s="1"/>
  <c r="BT36" i="1" s="1"/>
  <c r="BU36" i="1" s="1"/>
  <c r="BV36" i="1" s="1"/>
  <c r="BW36" i="1" s="1"/>
  <c r="BX36" i="1" s="1"/>
  <c r="BY36" i="1" s="1"/>
  <c r="BZ36" i="1" s="1"/>
  <c r="CA36" i="1" s="1"/>
  <c r="CB36" i="1" s="1"/>
  <c r="CC36" i="1" s="1"/>
  <c r="CD36" i="1" s="1"/>
  <c r="CE36" i="1" s="1"/>
  <c r="CF36" i="1" s="1"/>
  <c r="CG36" i="1" s="1"/>
  <c r="CH36" i="1" s="1"/>
  <c r="CI36" i="1" s="1"/>
  <c r="CJ36" i="1" s="1"/>
  <c r="CK36" i="1" s="1"/>
  <c r="CL36" i="1" s="1"/>
  <c r="CM36" i="1" s="1"/>
  <c r="CN36" i="1" s="1"/>
  <c r="CO36" i="1" s="1"/>
  <c r="CP36" i="1" s="1"/>
  <c r="CQ36" i="1" s="1"/>
  <c r="CR36" i="1" s="1"/>
  <c r="CS36" i="1" s="1"/>
  <c r="CT36" i="1" s="1"/>
  <c r="CU36" i="1" s="1"/>
  <c r="CV36" i="1" s="1"/>
  <c r="CW36" i="1" s="1"/>
  <c r="CX36" i="1" s="1"/>
  <c r="CY36" i="1" s="1"/>
  <c r="CZ36" i="1" s="1"/>
  <c r="DA36" i="1" s="1"/>
  <c r="DB36" i="1" s="1"/>
  <c r="DC36" i="1" s="1"/>
  <c r="DD36" i="1" s="1"/>
  <c r="DE36" i="1" s="1"/>
  <c r="DF36" i="1" s="1"/>
  <c r="DG36" i="1" s="1"/>
  <c r="AL23" i="1"/>
  <c r="CL23" i="1"/>
  <c r="AR24" i="1"/>
  <c r="CM24" i="1"/>
  <c r="AO25" i="1"/>
  <c r="CM25" i="1"/>
  <c r="AN26" i="1"/>
  <c r="CF26" i="1"/>
  <c r="AH28" i="1"/>
  <c r="BR28" i="1"/>
  <c r="DB28" i="1"/>
  <c r="AN29" i="1"/>
  <c r="BX29" i="1"/>
  <c r="M30" i="1"/>
  <c r="AT30" i="1"/>
  <c r="CB30" i="1"/>
  <c r="N31" i="1"/>
  <c r="S32" i="1"/>
  <c r="AT32" i="1"/>
  <c r="BT32" i="1"/>
  <c r="CT32" i="1"/>
  <c r="L23" i="1"/>
  <c r="K24" i="1"/>
  <c r="M22" i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AK22" i="1" s="1"/>
  <c r="AL22" i="1" s="1"/>
  <c r="AM22" i="1" s="1"/>
  <c r="AN22" i="1" s="1"/>
  <c r="AO22" i="1" s="1"/>
  <c r="AP22" i="1" s="1"/>
  <c r="AQ22" i="1" s="1"/>
  <c r="AR22" i="1" s="1"/>
  <c r="AS22" i="1" s="1"/>
  <c r="AT22" i="1" s="1"/>
  <c r="AU22" i="1" s="1"/>
  <c r="AV22" i="1" s="1"/>
  <c r="AW22" i="1" s="1"/>
  <c r="AX22" i="1" s="1"/>
  <c r="AY22" i="1" s="1"/>
  <c r="AZ22" i="1" s="1"/>
  <c r="BA22" i="1" s="1"/>
  <c r="BB22" i="1" s="1"/>
  <c r="BC22" i="1" s="1"/>
  <c r="BD22" i="1" s="1"/>
  <c r="BE22" i="1" s="1"/>
  <c r="BF22" i="1" s="1"/>
  <c r="BG22" i="1" s="1"/>
  <c r="BH22" i="1" s="1"/>
  <c r="BI22" i="1" s="1"/>
  <c r="BJ22" i="1" s="1"/>
  <c r="BK22" i="1" s="1"/>
  <c r="BL22" i="1" s="1"/>
  <c r="BM22" i="1" s="1"/>
  <c r="BN22" i="1" s="1"/>
  <c r="BO22" i="1" s="1"/>
  <c r="BP22" i="1" s="1"/>
  <c r="BQ22" i="1" s="1"/>
  <c r="BR22" i="1" s="1"/>
  <c r="BS22" i="1" s="1"/>
  <c r="BT22" i="1" s="1"/>
  <c r="BU22" i="1" s="1"/>
  <c r="BV22" i="1" s="1"/>
  <c r="BW22" i="1" s="1"/>
  <c r="BX22" i="1" s="1"/>
  <c r="BY22" i="1" s="1"/>
  <c r="BZ22" i="1" s="1"/>
  <c r="CA22" i="1" s="1"/>
  <c r="CB22" i="1" s="1"/>
  <c r="CC22" i="1" s="1"/>
  <c r="CD22" i="1" s="1"/>
  <c r="CE22" i="1" s="1"/>
  <c r="CF22" i="1" s="1"/>
  <c r="CG22" i="1" s="1"/>
  <c r="CH22" i="1" s="1"/>
  <c r="CI22" i="1" s="1"/>
  <c r="CJ22" i="1" s="1"/>
  <c r="CK22" i="1" s="1"/>
  <c r="CL22" i="1" s="1"/>
  <c r="CM22" i="1" s="1"/>
  <c r="CN22" i="1" s="1"/>
  <c r="CO22" i="1" s="1"/>
  <c r="CP22" i="1" s="1"/>
  <c r="CQ22" i="1" s="1"/>
  <c r="CR22" i="1" s="1"/>
  <c r="CS22" i="1" s="1"/>
  <c r="CT22" i="1" s="1"/>
  <c r="CU22" i="1" s="1"/>
  <c r="CV22" i="1" s="1"/>
  <c r="CW22" i="1" s="1"/>
  <c r="CX22" i="1" s="1"/>
  <c r="CY22" i="1" s="1"/>
  <c r="CZ22" i="1" s="1"/>
  <c r="DA22" i="1" s="1"/>
  <c r="DB22" i="1" s="1"/>
  <c r="DC22" i="1" s="1"/>
  <c r="DD22" i="1" s="1"/>
  <c r="DE22" i="1" s="1"/>
  <c r="DF22" i="1" s="1"/>
  <c r="DG22" i="1" s="1"/>
  <c r="K12" i="1"/>
  <c r="K11" i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BD11" i="1" s="1"/>
  <c r="BE11" i="1" s="1"/>
  <c r="BF11" i="1" s="1"/>
  <c r="BG11" i="1" s="1"/>
  <c r="BH11" i="1" s="1"/>
  <c r="BI11" i="1" s="1"/>
  <c r="BJ11" i="1" s="1"/>
  <c r="BK11" i="1" s="1"/>
  <c r="BL11" i="1" s="1"/>
  <c r="BM11" i="1" s="1"/>
  <c r="BN11" i="1" s="1"/>
  <c r="BO11" i="1" s="1"/>
  <c r="BP11" i="1" s="1"/>
  <c r="BQ11" i="1" s="1"/>
  <c r="BR11" i="1" s="1"/>
  <c r="BS11" i="1" s="1"/>
  <c r="BT11" i="1" s="1"/>
  <c r="BU11" i="1" s="1"/>
  <c r="BV11" i="1" s="1"/>
  <c r="BW11" i="1" s="1"/>
  <c r="BX11" i="1" s="1"/>
  <c r="BY11" i="1" s="1"/>
  <c r="BZ11" i="1" s="1"/>
  <c r="CA11" i="1" s="1"/>
  <c r="CB11" i="1" s="1"/>
  <c r="CC11" i="1" s="1"/>
  <c r="CD11" i="1" s="1"/>
  <c r="CE11" i="1" s="1"/>
  <c r="CF11" i="1" s="1"/>
  <c r="CG11" i="1" s="1"/>
  <c r="CH11" i="1" s="1"/>
  <c r="CI11" i="1" s="1"/>
  <c r="CJ11" i="1" s="1"/>
  <c r="CK11" i="1" s="1"/>
  <c r="CL11" i="1" s="1"/>
  <c r="CM11" i="1" s="1"/>
  <c r="CN11" i="1" s="1"/>
  <c r="CO11" i="1" s="1"/>
  <c r="CP11" i="1" s="1"/>
  <c r="CQ11" i="1" s="1"/>
  <c r="CR11" i="1" s="1"/>
  <c r="CS11" i="1" s="1"/>
  <c r="CT11" i="1" s="1"/>
  <c r="CU11" i="1" s="1"/>
  <c r="CV11" i="1" s="1"/>
  <c r="CW11" i="1" s="1"/>
  <c r="CX11" i="1" s="1"/>
  <c r="CY11" i="1" s="1"/>
  <c r="CZ11" i="1" s="1"/>
  <c r="DA11" i="1" s="1"/>
  <c r="DB11" i="1" s="1"/>
  <c r="DC11" i="1" s="1"/>
  <c r="DD11" i="1" s="1"/>
  <c r="DE11" i="1" s="1"/>
  <c r="DF11" i="1" s="1"/>
  <c r="DG11" i="1" s="1"/>
  <c r="M9" i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BD9" i="1" s="1"/>
  <c r="BE9" i="1" s="1"/>
  <c r="BF9" i="1" s="1"/>
  <c r="BG9" i="1" s="1"/>
  <c r="BH9" i="1" s="1"/>
  <c r="BI9" i="1" s="1"/>
  <c r="BJ9" i="1" s="1"/>
  <c r="BK9" i="1" s="1"/>
  <c r="BL9" i="1" s="1"/>
  <c r="BM9" i="1" s="1"/>
  <c r="BN9" i="1" s="1"/>
  <c r="BO9" i="1" s="1"/>
  <c r="BP9" i="1" s="1"/>
  <c r="BQ9" i="1" s="1"/>
  <c r="BR9" i="1" s="1"/>
  <c r="BS9" i="1" s="1"/>
  <c r="BT9" i="1" s="1"/>
  <c r="BU9" i="1" s="1"/>
  <c r="BV9" i="1" s="1"/>
  <c r="BW9" i="1" s="1"/>
  <c r="BX9" i="1" s="1"/>
  <c r="BY9" i="1" s="1"/>
  <c r="BZ9" i="1" s="1"/>
  <c r="CA9" i="1" s="1"/>
  <c r="CB9" i="1" s="1"/>
  <c r="CC9" i="1" s="1"/>
  <c r="CD9" i="1" s="1"/>
  <c r="CE9" i="1" s="1"/>
  <c r="CF9" i="1" s="1"/>
  <c r="CG9" i="1" s="1"/>
  <c r="CH9" i="1" s="1"/>
  <c r="CI9" i="1" s="1"/>
  <c r="CJ9" i="1" s="1"/>
  <c r="CK9" i="1" s="1"/>
  <c r="CL9" i="1" s="1"/>
  <c r="CM9" i="1" s="1"/>
  <c r="CN9" i="1" s="1"/>
  <c r="CO9" i="1" s="1"/>
  <c r="CP9" i="1" s="1"/>
  <c r="CQ9" i="1" s="1"/>
  <c r="CR9" i="1" s="1"/>
  <c r="CS9" i="1" s="1"/>
  <c r="CT9" i="1" s="1"/>
  <c r="CU9" i="1" s="1"/>
  <c r="CV9" i="1" s="1"/>
  <c r="CW9" i="1" s="1"/>
  <c r="CX9" i="1" s="1"/>
  <c r="CY9" i="1" s="1"/>
  <c r="CZ9" i="1" s="1"/>
  <c r="DA9" i="1" s="1"/>
  <c r="DB9" i="1" s="1"/>
  <c r="DC9" i="1" s="1"/>
  <c r="DD9" i="1" s="1"/>
  <c r="DE9" i="1" s="1"/>
  <c r="DF9" i="1" s="1"/>
  <c r="DG9" i="1" s="1"/>
  <c r="G11" i="1"/>
  <c r="CU27" i="1" s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5" i="1"/>
  <c r="G5" i="1" l="1"/>
  <c r="F5" i="1"/>
  <c r="CN31" i="1"/>
  <c r="S23" i="1"/>
  <c r="V197" i="1" s="1"/>
  <c r="AE23" i="1"/>
  <c r="AQ23" i="1"/>
  <c r="BC23" i="1"/>
  <c r="BO23" i="1"/>
  <c r="CA23" i="1"/>
  <c r="CM23" i="1"/>
  <c r="CY23" i="1"/>
  <c r="P24" i="1"/>
  <c r="AB24" i="1"/>
  <c r="AN24" i="1"/>
  <c r="AZ24" i="1"/>
  <c r="BL24" i="1"/>
  <c r="BX24" i="1"/>
  <c r="CJ24" i="1"/>
  <c r="CV24" i="1"/>
  <c r="M25" i="1"/>
  <c r="Y25" i="1"/>
  <c r="AK25" i="1"/>
  <c r="AW25" i="1"/>
  <c r="BI25" i="1"/>
  <c r="BU25" i="1"/>
  <c r="CG25" i="1"/>
  <c r="Q23" i="1"/>
  <c r="AD23" i="1"/>
  <c r="AR23" i="1"/>
  <c r="BE23" i="1"/>
  <c r="BR23" i="1"/>
  <c r="CE23" i="1"/>
  <c r="CR23" i="1"/>
  <c r="DE23" i="1"/>
  <c r="W24" i="1"/>
  <c r="AJ24" i="1"/>
  <c r="AW24" i="1"/>
  <c r="BJ24" i="1"/>
  <c r="BW24" i="1"/>
  <c r="CK24" i="1"/>
  <c r="CX24" i="1"/>
  <c r="P25" i="1"/>
  <c r="AC25" i="1"/>
  <c r="AP25" i="1"/>
  <c r="BC25" i="1"/>
  <c r="BP25" i="1"/>
  <c r="CC25" i="1"/>
  <c r="CP25" i="1"/>
  <c r="DB25" i="1"/>
  <c r="S26" i="1"/>
  <c r="AE26" i="1"/>
  <c r="AQ26" i="1"/>
  <c r="BC26" i="1"/>
  <c r="BO26" i="1"/>
  <c r="CA26" i="1"/>
  <c r="CM26" i="1"/>
  <c r="CY26" i="1"/>
  <c r="P27" i="1"/>
  <c r="AB27" i="1"/>
  <c r="AN27" i="1"/>
  <c r="AZ27" i="1"/>
  <c r="BL27" i="1"/>
  <c r="BX27" i="1"/>
  <c r="CJ27" i="1"/>
  <c r="CV27" i="1"/>
  <c r="M28" i="1"/>
  <c r="Y28" i="1"/>
  <c r="AK28" i="1"/>
  <c r="AW28" i="1"/>
  <c r="BI28" i="1"/>
  <c r="BU28" i="1"/>
  <c r="CG28" i="1"/>
  <c r="CS28" i="1"/>
  <c r="DE28" i="1"/>
  <c r="V29" i="1"/>
  <c r="AH29" i="1"/>
  <c r="AT29" i="1"/>
  <c r="BF29" i="1"/>
  <c r="BR29" i="1"/>
  <c r="CD29" i="1"/>
  <c r="CP29" i="1"/>
  <c r="DB29" i="1"/>
  <c r="S30" i="1"/>
  <c r="AE30" i="1"/>
  <c r="AQ30" i="1"/>
  <c r="BC30" i="1"/>
  <c r="U23" i="1"/>
  <c r="AH23" i="1"/>
  <c r="AU23" i="1"/>
  <c r="BH23" i="1"/>
  <c r="BU23" i="1"/>
  <c r="CH23" i="1"/>
  <c r="CU23" i="1"/>
  <c r="M24" i="1"/>
  <c r="Z24" i="1"/>
  <c r="AM24" i="1"/>
  <c r="BA24" i="1"/>
  <c r="BN24" i="1"/>
  <c r="CA24" i="1"/>
  <c r="CN24" i="1"/>
  <c r="DA24" i="1"/>
  <c r="S25" i="1"/>
  <c r="AF25" i="1"/>
  <c r="AS25" i="1"/>
  <c r="BF25" i="1"/>
  <c r="BS25" i="1"/>
  <c r="CF25" i="1"/>
  <c r="CS25" i="1"/>
  <c r="DE25" i="1"/>
  <c r="V26" i="1"/>
  <c r="AH26" i="1"/>
  <c r="AT26" i="1"/>
  <c r="BF26" i="1"/>
  <c r="BR26" i="1"/>
  <c r="CD26" i="1"/>
  <c r="CP26" i="1"/>
  <c r="DB26" i="1"/>
  <c r="S27" i="1"/>
  <c r="AE27" i="1"/>
  <c r="AQ27" i="1"/>
  <c r="BC27" i="1"/>
  <c r="BO27" i="1"/>
  <c r="CA27" i="1"/>
  <c r="CM27" i="1"/>
  <c r="CY27" i="1"/>
  <c r="X23" i="1"/>
  <c r="AM23" i="1"/>
  <c r="BB23" i="1"/>
  <c r="BS23" i="1"/>
  <c r="CI23" i="1"/>
  <c r="CX23" i="1"/>
  <c r="S24" i="1"/>
  <c r="AH24" i="1"/>
  <c r="AX24" i="1"/>
  <c r="BO24" i="1"/>
  <c r="CD24" i="1"/>
  <c r="CS24" i="1"/>
  <c r="N25" i="1"/>
  <c r="AD25" i="1"/>
  <c r="AT25" i="1"/>
  <c r="BJ25" i="1"/>
  <c r="BY25" i="1"/>
  <c r="CN25" i="1"/>
  <c r="DC25" i="1"/>
  <c r="W26" i="1"/>
  <c r="AK26" i="1"/>
  <c r="AY26" i="1"/>
  <c r="BM26" i="1"/>
  <c r="CB26" i="1"/>
  <c r="CQ26" i="1"/>
  <c r="DE26" i="1"/>
  <c r="X27" i="1"/>
  <c r="AL27" i="1"/>
  <c r="BA27" i="1"/>
  <c r="BP27" i="1"/>
  <c r="CD27" i="1"/>
  <c r="CR27" i="1"/>
  <c r="DF27" i="1"/>
  <c r="X28" i="1"/>
  <c r="AL28" i="1"/>
  <c r="AY28" i="1"/>
  <c r="BL28" i="1"/>
  <c r="BY28" i="1"/>
  <c r="CL28" i="1"/>
  <c r="CY28" i="1"/>
  <c r="Q29" i="1"/>
  <c r="AD29" i="1"/>
  <c r="AQ29" i="1"/>
  <c r="BD29" i="1"/>
  <c r="BQ29" i="1"/>
  <c r="CE29" i="1"/>
  <c r="CR29" i="1"/>
  <c r="DE29" i="1"/>
  <c r="W30" i="1"/>
  <c r="AJ30" i="1"/>
  <c r="AW30" i="1"/>
  <c r="BJ30" i="1"/>
  <c r="BV30" i="1"/>
  <c r="CH30" i="1"/>
  <c r="CT30" i="1"/>
  <c r="DF30" i="1"/>
  <c r="Y23" i="1"/>
  <c r="AN23" i="1"/>
  <c r="BD23" i="1"/>
  <c r="BT23" i="1"/>
  <c r="CJ23" i="1"/>
  <c r="CZ23" i="1"/>
  <c r="T24" i="1"/>
  <c r="AI24" i="1"/>
  <c r="AY24" i="1"/>
  <c r="BP24" i="1"/>
  <c r="CE24" i="1"/>
  <c r="CT24" i="1"/>
  <c r="O25" i="1"/>
  <c r="AE25" i="1"/>
  <c r="AU25" i="1"/>
  <c r="BK25" i="1"/>
  <c r="BZ25" i="1"/>
  <c r="CO25" i="1"/>
  <c r="DD25" i="1"/>
  <c r="X26" i="1"/>
  <c r="AL26" i="1"/>
  <c r="AZ26" i="1"/>
  <c r="BN26" i="1"/>
  <c r="CC26" i="1"/>
  <c r="CR26" i="1"/>
  <c r="DF26" i="1"/>
  <c r="Y27" i="1"/>
  <c r="AM27" i="1"/>
  <c r="BB27" i="1"/>
  <c r="BQ27" i="1"/>
  <c r="CE27" i="1"/>
  <c r="CS27" i="1"/>
  <c r="DG27" i="1"/>
  <c r="Z28" i="1"/>
  <c r="AM28" i="1"/>
  <c r="AZ28" i="1"/>
  <c r="BM28" i="1"/>
  <c r="BZ28" i="1"/>
  <c r="CM28" i="1"/>
  <c r="CZ28" i="1"/>
  <c r="R29" i="1"/>
  <c r="AE29" i="1"/>
  <c r="AR29" i="1"/>
  <c r="BE29" i="1"/>
  <c r="BS29" i="1"/>
  <c r="CF29" i="1"/>
  <c r="CS29" i="1"/>
  <c r="DF29" i="1"/>
  <c r="X30" i="1"/>
  <c r="AK30" i="1"/>
  <c r="AX30" i="1"/>
  <c r="BK30" i="1"/>
  <c r="BW30" i="1"/>
  <c r="CI30" i="1"/>
  <c r="CU30" i="1"/>
  <c r="DG30" i="1"/>
  <c r="X31" i="1"/>
  <c r="AJ31" i="1"/>
  <c r="AV31" i="1"/>
  <c r="BH31" i="1"/>
  <c r="BT31" i="1"/>
  <c r="CF31" i="1"/>
  <c r="CR31" i="1"/>
  <c r="DD31" i="1"/>
  <c r="U32" i="1"/>
  <c r="AG32" i="1"/>
  <c r="AS32" i="1"/>
  <c r="BE32" i="1"/>
  <c r="BQ32" i="1"/>
  <c r="CC32" i="1"/>
  <c r="CO32" i="1"/>
  <c r="DA32" i="1"/>
  <c r="L29" i="1"/>
  <c r="Z23" i="1"/>
  <c r="AO23" i="1"/>
  <c r="BF23" i="1"/>
  <c r="BV23" i="1"/>
  <c r="CK23" i="1"/>
  <c r="DA23" i="1"/>
  <c r="U24" i="1"/>
  <c r="AK24" i="1"/>
  <c r="BB24" i="1"/>
  <c r="BQ24" i="1"/>
  <c r="CF24" i="1"/>
  <c r="CU24" i="1"/>
  <c r="Q25" i="1"/>
  <c r="AG25" i="1"/>
  <c r="AV25" i="1"/>
  <c r="BL25" i="1"/>
  <c r="CA25" i="1"/>
  <c r="CQ25" i="1"/>
  <c r="DF25" i="1"/>
  <c r="Y26" i="1"/>
  <c r="AM26" i="1"/>
  <c r="BA26" i="1"/>
  <c r="BP26" i="1"/>
  <c r="CE26" i="1"/>
  <c r="CS26" i="1"/>
  <c r="DG26" i="1"/>
  <c r="Z27" i="1"/>
  <c r="AO27" i="1"/>
  <c r="BD27" i="1"/>
  <c r="BR27" i="1"/>
  <c r="CF27" i="1"/>
  <c r="CT27" i="1"/>
  <c r="N28" i="1"/>
  <c r="AA28" i="1"/>
  <c r="AN28" i="1"/>
  <c r="BA28" i="1"/>
  <c r="BN28" i="1"/>
  <c r="CA28" i="1"/>
  <c r="CN28" i="1"/>
  <c r="DA28" i="1"/>
  <c r="S29" i="1"/>
  <c r="AF29" i="1"/>
  <c r="AS29" i="1"/>
  <c r="BG29" i="1"/>
  <c r="BT29" i="1"/>
  <c r="CG29" i="1"/>
  <c r="CT29" i="1"/>
  <c r="DG29" i="1"/>
  <c r="Y30" i="1"/>
  <c r="AL30" i="1"/>
  <c r="AY30" i="1"/>
  <c r="BL30" i="1"/>
  <c r="BX30" i="1"/>
  <c r="CJ30" i="1"/>
  <c r="CV30" i="1"/>
  <c r="M31" i="1"/>
  <c r="AB23" i="1"/>
  <c r="AW23" i="1"/>
  <c r="BP23" i="1"/>
  <c r="CN23" i="1"/>
  <c r="DG23" i="1"/>
  <c r="AF24" i="1"/>
  <c r="BD24" i="1"/>
  <c r="BV24" i="1"/>
  <c r="CQ24" i="1"/>
  <c r="T25" i="1"/>
  <c r="AM25" i="1"/>
  <c r="BG25" i="1"/>
  <c r="CD25" i="1"/>
  <c r="CW25" i="1"/>
  <c r="T26" i="1"/>
  <c r="AO26" i="1"/>
  <c r="BH26" i="1"/>
  <c r="BY26" i="1"/>
  <c r="CU26" i="1"/>
  <c r="R27" i="1"/>
  <c r="AJ27" i="1"/>
  <c r="BF27" i="1"/>
  <c r="BW27" i="1"/>
  <c r="CP27" i="1"/>
  <c r="P28" i="1"/>
  <c r="AF28" i="1"/>
  <c r="AV28" i="1"/>
  <c r="BP28" i="1"/>
  <c r="CF28" i="1"/>
  <c r="CW28" i="1"/>
  <c r="U29" i="1"/>
  <c r="AL29" i="1"/>
  <c r="BB29" i="1"/>
  <c r="BV29" i="1"/>
  <c r="CL29" i="1"/>
  <c r="DC29" i="1"/>
  <c r="AA30" i="1"/>
  <c r="AR30" i="1"/>
  <c r="BH30" i="1"/>
  <c r="BZ30" i="1"/>
  <c r="CO30" i="1"/>
  <c r="DD30" i="1"/>
  <c r="Y31" i="1"/>
  <c r="AL31" i="1"/>
  <c r="AY31" i="1"/>
  <c r="BL31" i="1"/>
  <c r="BY31" i="1"/>
  <c r="CL31" i="1"/>
  <c r="CY31" i="1"/>
  <c r="Q32" i="1"/>
  <c r="AD32" i="1"/>
  <c r="AQ32" i="1"/>
  <c r="BD32" i="1"/>
  <c r="BR32" i="1"/>
  <c r="CE32" i="1"/>
  <c r="CR32" i="1"/>
  <c r="DE32" i="1"/>
  <c r="AX23" i="1"/>
  <c r="AC23" i="1"/>
  <c r="BQ23" i="1"/>
  <c r="CO23" i="1"/>
  <c r="N24" i="1"/>
  <c r="AG24" i="1"/>
  <c r="BE24" i="1"/>
  <c r="BY24" i="1"/>
  <c r="CR24" i="1"/>
  <c r="U25" i="1"/>
  <c r="AN25" i="1"/>
  <c r="BH25" i="1"/>
  <c r="CE25" i="1"/>
  <c r="CX25" i="1"/>
  <c r="U26" i="1"/>
  <c r="AP26" i="1"/>
  <c r="BZ26" i="1"/>
  <c r="M23" i="1"/>
  <c r="P71" i="1" s="1"/>
  <c r="AG23" i="1"/>
  <c r="AZ23" i="1"/>
  <c r="BX23" i="1"/>
  <c r="CQ23" i="1"/>
  <c r="Q24" i="1"/>
  <c r="AO24" i="1"/>
  <c r="BG24" i="1"/>
  <c r="CB24" i="1"/>
  <c r="CY24" i="1"/>
  <c r="W25" i="1"/>
  <c r="AQ25" i="1"/>
  <c r="BN25" i="1"/>
  <c r="CI25" i="1"/>
  <c r="CZ25" i="1"/>
  <c r="AA26" i="1"/>
  <c r="AS26" i="1"/>
  <c r="BK26" i="1"/>
  <c r="CG26" i="1"/>
  <c r="CX26" i="1"/>
  <c r="V27" i="1"/>
  <c r="AR27" i="1"/>
  <c r="BI27" i="1"/>
  <c r="CB27" i="1"/>
  <c r="CW27" i="1"/>
  <c r="S28" i="1"/>
  <c r="AI28" i="1"/>
  <c r="BC28" i="1"/>
  <c r="BS28" i="1"/>
  <c r="CJ28" i="1"/>
  <c r="DC28" i="1"/>
  <c r="Y29" i="1"/>
  <c r="AO29" i="1"/>
  <c r="BI29" i="1"/>
  <c r="BY29" i="1"/>
  <c r="CO29" i="1"/>
  <c r="N30" i="1"/>
  <c r="AD30" i="1"/>
  <c r="AU30" i="1"/>
  <c r="BN30" i="1"/>
  <c r="CC30" i="1"/>
  <c r="CR30" i="1"/>
  <c r="O31" i="1"/>
  <c r="AB31" i="1"/>
  <c r="AO31" i="1"/>
  <c r="BB31" i="1"/>
  <c r="BO31" i="1"/>
  <c r="CB31" i="1"/>
  <c r="CO31" i="1"/>
  <c r="DB31" i="1"/>
  <c r="T32" i="1"/>
  <c r="AH32" i="1"/>
  <c r="AU32" i="1"/>
  <c r="BH32" i="1"/>
  <c r="BU32" i="1"/>
  <c r="CH32" i="1"/>
  <c r="CU32" i="1"/>
  <c r="L24" i="1"/>
  <c r="Q31" i="1"/>
  <c r="N23" i="1"/>
  <c r="Q71" i="1" s="1"/>
  <c r="AI23" i="1"/>
  <c r="BA23" i="1"/>
  <c r="BY23" i="1"/>
  <c r="CS23" i="1"/>
  <c r="R24" i="1"/>
  <c r="AP24" i="1"/>
  <c r="BH24" i="1"/>
  <c r="CC24" i="1"/>
  <c r="CZ24" i="1"/>
  <c r="X25" i="1"/>
  <c r="AR25" i="1"/>
  <c r="BO25" i="1"/>
  <c r="CJ25" i="1"/>
  <c r="DA25" i="1"/>
  <c r="AB26" i="1"/>
  <c r="AU26" i="1"/>
  <c r="BL26" i="1"/>
  <c r="CH26" i="1"/>
  <c r="CZ26" i="1"/>
  <c r="W27" i="1"/>
  <c r="AS27" i="1"/>
  <c r="BJ27" i="1"/>
  <c r="CC27" i="1"/>
  <c r="CX27" i="1"/>
  <c r="T28" i="1"/>
  <c r="AJ28" i="1"/>
  <c r="BD28" i="1"/>
  <c r="BT28" i="1"/>
  <c r="CK28" i="1"/>
  <c r="DD28" i="1"/>
  <c r="Z29" i="1"/>
  <c r="AP29" i="1"/>
  <c r="BJ29" i="1"/>
  <c r="BZ29" i="1"/>
  <c r="CQ29" i="1"/>
  <c r="O30" i="1"/>
  <c r="AF30" i="1"/>
  <c r="AV30" i="1"/>
  <c r="BO30" i="1"/>
  <c r="CD30" i="1"/>
  <c r="CS30" i="1"/>
  <c r="P31" i="1"/>
  <c r="AC31" i="1"/>
  <c r="AP31" i="1"/>
  <c r="BC31" i="1"/>
  <c r="BP31" i="1"/>
  <c r="CC31" i="1"/>
  <c r="CP31" i="1"/>
  <c r="DC31" i="1"/>
  <c r="V32" i="1"/>
  <c r="AI32" i="1"/>
  <c r="AV32" i="1"/>
  <c r="BI32" i="1"/>
  <c r="BV32" i="1"/>
  <c r="CI32" i="1"/>
  <c r="CV32" i="1"/>
  <c r="L25" i="1"/>
  <c r="P30" i="1"/>
  <c r="BD31" i="1"/>
  <c r="CQ31" i="1"/>
  <c r="W32" i="1"/>
  <c r="AW32" i="1"/>
  <c r="BJ32" i="1"/>
  <c r="CJ32" i="1"/>
  <c r="O23" i="1"/>
  <c r="R148" i="1" s="1"/>
  <c r="AJ23" i="1"/>
  <c r="BG23" i="1"/>
  <c r="BZ23" i="1"/>
  <c r="CT23" i="1"/>
  <c r="V24" i="1"/>
  <c r="AQ24" i="1"/>
  <c r="BI24" i="1"/>
  <c r="CG24" i="1"/>
  <c r="DB24" i="1"/>
  <c r="Z25" i="1"/>
  <c r="AX25" i="1"/>
  <c r="BQ25" i="1"/>
  <c r="CK25" i="1"/>
  <c r="DG25" i="1"/>
  <c r="AC26" i="1"/>
  <c r="AV26" i="1"/>
  <c r="BQ26" i="1"/>
  <c r="CI26" i="1"/>
  <c r="DA26" i="1"/>
  <c r="AA27" i="1"/>
  <c r="AT27" i="1"/>
  <c r="BK27" i="1"/>
  <c r="CG27" i="1"/>
  <c r="CZ27" i="1"/>
  <c r="U28" i="1"/>
  <c r="AO28" i="1"/>
  <c r="BE28" i="1"/>
  <c r="BV28" i="1"/>
  <c r="CO28" i="1"/>
  <c r="DF28" i="1"/>
  <c r="AA29" i="1"/>
  <c r="AU29" i="1"/>
  <c r="BK29" i="1"/>
  <c r="CA29" i="1"/>
  <c r="CU29" i="1"/>
  <c r="AG30" i="1"/>
  <c r="AZ30" i="1"/>
  <c r="BP30" i="1"/>
  <c r="CE30" i="1"/>
  <c r="CW30" i="1"/>
  <c r="AD31" i="1"/>
  <c r="AQ31" i="1"/>
  <c r="BQ31" i="1"/>
  <c r="CD31" i="1"/>
  <c r="DE31" i="1"/>
  <c r="AJ32" i="1"/>
  <c r="BW32" i="1"/>
  <c r="CW32" i="1"/>
  <c r="T23" i="1"/>
  <c r="W114" i="1" s="1"/>
  <c r="AP23" i="1"/>
  <c r="BK23" i="1"/>
  <c r="CD23" i="1"/>
  <c r="DB23" i="1"/>
  <c r="AA24" i="1"/>
  <c r="AT24" i="1"/>
  <c r="BR24" i="1"/>
  <c r="CL24" i="1"/>
  <c r="DE24" i="1"/>
  <c r="AH25" i="1"/>
  <c r="BA25" i="1"/>
  <c r="BV25" i="1"/>
  <c r="CR25" i="1"/>
  <c r="O26" i="1"/>
  <c r="AG26" i="1"/>
  <c r="BB26" i="1"/>
  <c r="BU26" i="1"/>
  <c r="CL26" i="1"/>
  <c r="M27" i="1"/>
  <c r="AF27" i="1"/>
  <c r="AW27" i="1"/>
  <c r="BS27" i="1"/>
  <c r="CK27" i="1"/>
  <c r="DC27" i="1"/>
  <c r="AB28" i="1"/>
  <c r="AR28" i="1"/>
  <c r="BH28" i="1"/>
  <c r="CB28" i="1"/>
  <c r="CR28" i="1"/>
  <c r="N29" i="1"/>
  <c r="AG29" i="1"/>
  <c r="AX29" i="1"/>
  <c r="BN29" i="1"/>
  <c r="CH29" i="1"/>
  <c r="CX29" i="1"/>
  <c r="T30" i="1"/>
  <c r="AM30" i="1"/>
  <c r="BD30" i="1"/>
  <c r="BS30" i="1"/>
  <c r="CK30" i="1"/>
  <c r="CZ30" i="1"/>
  <c r="T31" i="1"/>
  <c r="AG31" i="1"/>
  <c r="AT31" i="1"/>
  <c r="BG31" i="1"/>
  <c r="BU31" i="1"/>
  <c r="CH31" i="1"/>
  <c r="CU31" i="1"/>
  <c r="M32" i="1"/>
  <c r="Z32" i="1"/>
  <c r="AM32" i="1"/>
  <c r="AZ32" i="1"/>
  <c r="BM32" i="1"/>
  <c r="BZ32" i="1"/>
  <c r="CM32" i="1"/>
  <c r="CZ32" i="1"/>
  <c r="L30" i="1"/>
  <c r="W23" i="1"/>
  <c r="AT23" i="1"/>
  <c r="BM23" i="1"/>
  <c r="CG23" i="1"/>
  <c r="DD23" i="1"/>
  <c r="AD24" i="1"/>
  <c r="AV24" i="1"/>
  <c r="BT24" i="1"/>
  <c r="CO24" i="1"/>
  <c r="DG24" i="1"/>
  <c r="AJ25" i="1"/>
  <c r="BD25" i="1"/>
  <c r="BX25" i="1"/>
  <c r="CU25" i="1"/>
  <c r="Q26" i="1"/>
  <c r="AJ26" i="1"/>
  <c r="BE26" i="1"/>
  <c r="BW26" i="1"/>
  <c r="CO26" i="1"/>
  <c r="O27" i="1"/>
  <c r="AH27" i="1"/>
  <c r="AY27" i="1"/>
  <c r="BU27" i="1"/>
  <c r="CN27" i="1"/>
  <c r="DE27" i="1"/>
  <c r="AD28" i="1"/>
  <c r="AT28" i="1"/>
  <c r="BK28" i="1"/>
  <c r="CD28" i="1"/>
  <c r="CU28" i="1"/>
  <c r="P29" i="1"/>
  <c r="AJ29" i="1"/>
  <c r="AZ29" i="1"/>
  <c r="BP29" i="1"/>
  <c r="CJ29" i="1"/>
  <c r="CZ29" i="1"/>
  <c r="V30" i="1"/>
  <c r="AO30" i="1"/>
  <c r="BF30" i="1"/>
  <c r="BU30" i="1"/>
  <c r="CM30" i="1"/>
  <c r="DB30" i="1"/>
  <c r="V31" i="1"/>
  <c r="AI31" i="1"/>
  <c r="AW31" i="1"/>
  <c r="BJ31" i="1"/>
  <c r="BW31" i="1"/>
  <c r="CJ31" i="1"/>
  <c r="CW31" i="1"/>
  <c r="O32" i="1"/>
  <c r="AB32" i="1"/>
  <c r="AO32" i="1"/>
  <c r="BB32" i="1"/>
  <c r="BO32" i="1"/>
  <c r="CB32" i="1"/>
  <c r="CP32" i="1"/>
  <c r="DC32" i="1"/>
  <c r="L32" i="1"/>
  <c r="L10" i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BB10" i="1" s="1"/>
  <c r="BC10" i="1" s="1"/>
  <c r="BD10" i="1" s="1"/>
  <c r="BE10" i="1" s="1"/>
  <c r="BF10" i="1" s="1"/>
  <c r="BG10" i="1" s="1"/>
  <c r="BH10" i="1" s="1"/>
  <c r="BI10" i="1" s="1"/>
  <c r="BJ10" i="1" s="1"/>
  <c r="BK10" i="1" s="1"/>
  <c r="BL10" i="1" s="1"/>
  <c r="BM10" i="1" s="1"/>
  <c r="BN10" i="1" s="1"/>
  <c r="BO10" i="1" s="1"/>
  <c r="BP10" i="1" s="1"/>
  <c r="BQ10" i="1" s="1"/>
  <c r="BR10" i="1" s="1"/>
  <c r="BS10" i="1" s="1"/>
  <c r="BT10" i="1" s="1"/>
  <c r="BU10" i="1" s="1"/>
  <c r="BV10" i="1" s="1"/>
  <c r="BW10" i="1" s="1"/>
  <c r="BX10" i="1" s="1"/>
  <c r="BY10" i="1" s="1"/>
  <c r="BZ10" i="1" s="1"/>
  <c r="CA10" i="1" s="1"/>
  <c r="CB10" i="1" s="1"/>
  <c r="CC10" i="1" s="1"/>
  <c r="CD10" i="1" s="1"/>
  <c r="CE10" i="1" s="1"/>
  <c r="CF10" i="1" s="1"/>
  <c r="CG10" i="1" s="1"/>
  <c r="CH10" i="1" s="1"/>
  <c r="CI10" i="1" s="1"/>
  <c r="CJ10" i="1" s="1"/>
  <c r="CK10" i="1" s="1"/>
  <c r="CL10" i="1" s="1"/>
  <c r="CM10" i="1" s="1"/>
  <c r="CN10" i="1" s="1"/>
  <c r="CO10" i="1" s="1"/>
  <c r="CP10" i="1" s="1"/>
  <c r="CQ10" i="1" s="1"/>
  <c r="CR10" i="1" s="1"/>
  <c r="CS10" i="1" s="1"/>
  <c r="CT10" i="1" s="1"/>
  <c r="CU10" i="1" s="1"/>
  <c r="CV10" i="1" s="1"/>
  <c r="CW10" i="1" s="1"/>
  <c r="CX10" i="1" s="1"/>
  <c r="CY10" i="1" s="1"/>
  <c r="CZ10" i="1" s="1"/>
  <c r="DA10" i="1" s="1"/>
  <c r="DB10" i="1" s="1"/>
  <c r="DC10" i="1" s="1"/>
  <c r="DD10" i="1" s="1"/>
  <c r="DE10" i="1" s="1"/>
  <c r="DF10" i="1" s="1"/>
  <c r="DG10" i="1" s="1"/>
  <c r="AS23" i="1"/>
  <c r="CP23" i="1"/>
  <c r="AS24" i="1"/>
  <c r="CP24" i="1"/>
  <c r="AY25" i="1"/>
  <c r="CT25" i="1"/>
  <c r="AR26" i="1"/>
  <c r="CJ26" i="1"/>
  <c r="AC27" i="1"/>
  <c r="BM27" i="1"/>
  <c r="DA27" i="1"/>
  <c r="AP28" i="1"/>
  <c r="BW28" i="1"/>
  <c r="DG28" i="1"/>
  <c r="AV29" i="1"/>
  <c r="CB29" i="1"/>
  <c r="Q30" i="1"/>
  <c r="BA30" i="1"/>
  <c r="CF30" i="1"/>
  <c r="R31" i="1"/>
  <c r="AR31" i="1"/>
  <c r="BR31" i="1"/>
  <c r="CS31" i="1"/>
  <c r="X32" i="1"/>
  <c r="AX32" i="1"/>
  <c r="BX32" i="1"/>
  <c r="CX32" i="1"/>
  <c r="BJ23" i="1"/>
  <c r="BK24" i="1"/>
  <c r="BM25" i="1"/>
  <c r="CV26" i="1"/>
  <c r="BY27" i="1"/>
  <c r="AX28" i="1"/>
  <c r="W29" i="1"/>
  <c r="CM29" i="1"/>
  <c r="BI30" i="1"/>
  <c r="AZ31" i="1"/>
  <c r="CZ31" i="1"/>
  <c r="BF32" i="1"/>
  <c r="DF32" i="1"/>
  <c r="P23" i="1"/>
  <c r="S250" i="1" s="1"/>
  <c r="BM24" i="1"/>
  <c r="P26" i="1"/>
  <c r="BZ27" i="1"/>
  <c r="X29" i="1"/>
  <c r="CN29" i="1"/>
  <c r="BM30" i="1"/>
  <c r="BA31" i="1"/>
  <c r="DA31" i="1"/>
  <c r="CG32" i="1"/>
  <c r="BS24" i="1"/>
  <c r="BJ26" i="1"/>
  <c r="CH27" i="1"/>
  <c r="AB29" i="1"/>
  <c r="CX30" i="1"/>
  <c r="DF31" i="1"/>
  <c r="L26" i="1"/>
  <c r="AE24" i="1"/>
  <c r="AF26" i="1"/>
  <c r="AE28" i="1"/>
  <c r="DA29" i="1"/>
  <c r="CK31" i="1"/>
  <c r="AL24" i="1"/>
  <c r="CL25" i="1"/>
  <c r="T27" i="1"/>
  <c r="AM29" i="1"/>
  <c r="CA30" i="1"/>
  <c r="R32" i="1"/>
  <c r="AV23" i="1"/>
  <c r="CV23" i="1"/>
  <c r="AU24" i="1"/>
  <c r="CW24" i="1"/>
  <c r="AZ25" i="1"/>
  <c r="CV25" i="1"/>
  <c r="AW26" i="1"/>
  <c r="CK26" i="1"/>
  <c r="AD27" i="1"/>
  <c r="BN27" i="1"/>
  <c r="DB27" i="1"/>
  <c r="AQ28" i="1"/>
  <c r="BX28" i="1"/>
  <c r="M29" i="1"/>
  <c r="AW29" i="1"/>
  <c r="CC29" i="1"/>
  <c r="R30" i="1"/>
  <c r="BB30" i="1"/>
  <c r="CG30" i="1"/>
  <c r="S31" i="1"/>
  <c r="AS31" i="1"/>
  <c r="BS31" i="1"/>
  <c r="CT31" i="1"/>
  <c r="Y32" i="1"/>
  <c r="AY32" i="1"/>
  <c r="BY32" i="1"/>
  <c r="CY32" i="1"/>
  <c r="DF23" i="1"/>
  <c r="DF24" i="1"/>
  <c r="N26" i="1"/>
  <c r="AK27" i="1"/>
  <c r="Q28" i="1"/>
  <c r="CH28" i="1"/>
  <c r="BC29" i="1"/>
  <c r="AB30" i="1"/>
  <c r="Z31" i="1"/>
  <c r="BZ31" i="1"/>
  <c r="AE32" i="1"/>
  <c r="CF32" i="1"/>
  <c r="BL23" i="1"/>
  <c r="R25" i="1"/>
  <c r="BI26" i="1"/>
  <c r="AP27" i="1"/>
  <c r="BB28" i="1"/>
  <c r="BH29" i="1"/>
  <c r="AC30" i="1"/>
  <c r="AA31" i="1"/>
  <c r="CA31" i="1"/>
  <c r="BG32" i="1"/>
  <c r="X24" i="1"/>
  <c r="BT25" i="1"/>
  <c r="AU27" i="1"/>
  <c r="CP28" i="1"/>
  <c r="AH30" i="1"/>
  <c r="CE31" i="1"/>
  <c r="CK32" i="1"/>
  <c r="CC23" i="1"/>
  <c r="BV26" i="1"/>
  <c r="BO28" i="1"/>
  <c r="BY30" i="1"/>
  <c r="P32" i="1"/>
  <c r="CF23" i="1"/>
  <c r="AL25" i="1"/>
  <c r="BG27" i="1"/>
  <c r="CX28" i="1"/>
  <c r="AS30" i="1"/>
  <c r="CM31" i="1"/>
  <c r="CS32" i="1"/>
  <c r="AY23" i="1"/>
  <c r="CW23" i="1"/>
  <c r="BC24" i="1"/>
  <c r="DC24" i="1"/>
  <c r="BB25" i="1"/>
  <c r="CY25" i="1"/>
  <c r="AX26" i="1"/>
  <c r="CN26" i="1"/>
  <c r="AG27" i="1"/>
  <c r="BT27" i="1"/>
  <c r="DD27" i="1"/>
  <c r="AS28" i="1"/>
  <c r="CC28" i="1"/>
  <c r="O29" i="1"/>
  <c r="AY29" i="1"/>
  <c r="CI29" i="1"/>
  <c r="U30" i="1"/>
  <c r="BE30" i="1"/>
  <c r="CL30" i="1"/>
  <c r="U31" i="1"/>
  <c r="AU31" i="1"/>
  <c r="BV31" i="1"/>
  <c r="CV31" i="1"/>
  <c r="AA32" i="1"/>
  <c r="BA32" i="1"/>
  <c r="CA32" i="1"/>
  <c r="DB32" i="1"/>
  <c r="R28" i="1"/>
  <c r="BN23" i="1"/>
  <c r="R26" i="1"/>
  <c r="V28" i="1"/>
  <c r="BL29" i="1"/>
  <c r="AE31" i="1"/>
  <c r="AK32" i="1"/>
  <c r="AI25" i="1"/>
  <c r="CO27" i="1"/>
  <c r="BU29" i="1"/>
  <c r="AK31" i="1"/>
  <c r="BK31" i="1"/>
  <c r="BP32" i="1"/>
  <c r="L31" i="1"/>
  <c r="AI26" i="1"/>
  <c r="BQ28" i="1"/>
  <c r="DE30" i="1"/>
  <c r="BS32" i="1"/>
  <c r="BI23" i="1"/>
  <c r="DC23" i="1"/>
  <c r="BF24" i="1"/>
  <c r="DD24" i="1"/>
  <c r="BE25" i="1"/>
  <c r="M26" i="1"/>
  <c r="BD26" i="1"/>
  <c r="CT26" i="1"/>
  <c r="AI27" i="1"/>
  <c r="BV27" i="1"/>
  <c r="O28" i="1"/>
  <c r="AU28" i="1"/>
  <c r="CE28" i="1"/>
  <c r="T29" i="1"/>
  <c r="BA29" i="1"/>
  <c r="CK29" i="1"/>
  <c r="Z30" i="1"/>
  <c r="BG30" i="1"/>
  <c r="CN30" i="1"/>
  <c r="W31" i="1"/>
  <c r="AX31" i="1"/>
  <c r="BX31" i="1"/>
  <c r="CX31" i="1"/>
  <c r="AC32" i="1"/>
  <c r="BC32" i="1"/>
  <c r="CD32" i="1"/>
  <c r="DD32" i="1"/>
  <c r="BG26" i="1"/>
  <c r="CP30" i="1"/>
  <c r="O24" i="1"/>
  <c r="BR25" i="1"/>
  <c r="CW26" i="1"/>
  <c r="CI28" i="1"/>
  <c r="CQ30" i="1"/>
  <c r="DG32" i="1"/>
  <c r="R23" i="1"/>
  <c r="U86" i="1" s="1"/>
  <c r="V25" i="1"/>
  <c r="DC26" i="1"/>
  <c r="BF28" i="1"/>
  <c r="CV29" i="1"/>
  <c r="BQ30" i="1"/>
  <c r="BE31" i="1"/>
  <c r="BK32" i="1"/>
  <c r="AF23" i="1"/>
  <c r="CH25" i="1"/>
  <c r="Q27" i="1"/>
  <c r="CV28" i="1"/>
  <c r="AP30" i="1"/>
  <c r="AP32" i="1"/>
  <c r="AK23" i="1"/>
  <c r="CI24" i="1"/>
  <c r="BX26" i="1"/>
  <c r="AG28" i="1"/>
  <c r="BW29" i="1"/>
  <c r="AM31" i="1"/>
  <c r="AR32" i="1"/>
  <c r="AF32" i="1"/>
  <c r="V23" i="1"/>
  <c r="BW23" i="1"/>
  <c r="Y24" i="1"/>
  <c r="BU24" i="1"/>
  <c r="AA25" i="1"/>
  <c r="BW25" i="1"/>
  <c r="Z26" i="1"/>
  <c r="BS26" i="1"/>
  <c r="DD26" i="1"/>
  <c r="AV27" i="1"/>
  <c r="CI27" i="1"/>
  <c r="W28" i="1"/>
  <c r="BG28" i="1"/>
  <c r="CQ28" i="1"/>
  <c r="AC29" i="1"/>
  <c r="BM29" i="1"/>
  <c r="CW29" i="1"/>
  <c r="AI30" i="1"/>
  <c r="BR30" i="1"/>
  <c r="CY30" i="1"/>
  <c r="AF31" i="1"/>
  <c r="BF31" i="1"/>
  <c r="CG31" i="1"/>
  <c r="DG31" i="1"/>
  <c r="AL32" i="1"/>
  <c r="BL32" i="1"/>
  <c r="CL32" i="1"/>
  <c r="L27" i="1"/>
  <c r="AA23" i="1"/>
  <c r="CB23" i="1"/>
  <c r="AC24" i="1"/>
  <c r="BZ24" i="1"/>
  <c r="AB25" i="1"/>
  <c r="CB25" i="1"/>
  <c r="AD26" i="1"/>
  <c r="BT26" i="1"/>
  <c r="N27" i="1"/>
  <c r="AX27" i="1"/>
  <c r="CL27" i="1"/>
  <c r="AC28" i="1"/>
  <c r="BJ28" i="1"/>
  <c r="CT28" i="1"/>
  <c r="AI29" i="1"/>
  <c r="BO29" i="1"/>
  <c r="CY29" i="1"/>
  <c r="AN30" i="1"/>
  <c r="BT30" i="1"/>
  <c r="DA30" i="1"/>
  <c r="AH31" i="1"/>
  <c r="BI31" i="1"/>
  <c r="CI31" i="1"/>
  <c r="N32" i="1"/>
  <c r="AN32" i="1"/>
  <c r="BN32" i="1"/>
  <c r="CN32" i="1"/>
  <c r="L28" i="1"/>
  <c r="CH24" i="1"/>
  <c r="BE27" i="1"/>
  <c r="AK29" i="1"/>
  <c r="DC30" i="1"/>
  <c r="CQ32" i="1"/>
  <c r="CQ27" i="1"/>
  <c r="DD29" i="1"/>
  <c r="BM31" i="1"/>
  <c r="BN31" i="1"/>
  <c r="BH27" i="1"/>
  <c r="AN31" i="1"/>
  <c r="U27" i="1"/>
  <c r="K13" i="1"/>
  <c r="L12" i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Y12" i="1" s="1"/>
  <c r="AZ12" i="1" s="1"/>
  <c r="BA12" i="1" s="1"/>
  <c r="BB12" i="1" s="1"/>
  <c r="BC12" i="1" s="1"/>
  <c r="BD12" i="1" s="1"/>
  <c r="BE12" i="1" s="1"/>
  <c r="BF12" i="1" s="1"/>
  <c r="BG12" i="1" s="1"/>
  <c r="BH12" i="1" s="1"/>
  <c r="BI12" i="1" s="1"/>
  <c r="BJ12" i="1" s="1"/>
  <c r="BK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BV12" i="1" s="1"/>
  <c r="BW12" i="1" s="1"/>
  <c r="BX12" i="1" s="1"/>
  <c r="BY12" i="1" s="1"/>
  <c r="BZ12" i="1" s="1"/>
  <c r="CA12" i="1" s="1"/>
  <c r="CB12" i="1" s="1"/>
  <c r="CC12" i="1" s="1"/>
  <c r="CD12" i="1" s="1"/>
  <c r="CE12" i="1" s="1"/>
  <c r="CF12" i="1" s="1"/>
  <c r="CG12" i="1" s="1"/>
  <c r="CH12" i="1" s="1"/>
  <c r="CI12" i="1" s="1"/>
  <c r="CJ12" i="1" s="1"/>
  <c r="CK12" i="1" s="1"/>
  <c r="CL12" i="1" s="1"/>
  <c r="CM12" i="1" s="1"/>
  <c r="CN12" i="1" s="1"/>
  <c r="CO12" i="1" s="1"/>
  <c r="CP12" i="1" s="1"/>
  <c r="CQ12" i="1" s="1"/>
  <c r="CR12" i="1" s="1"/>
  <c r="CS12" i="1" s="1"/>
  <c r="CT12" i="1" s="1"/>
  <c r="CU12" i="1" s="1"/>
  <c r="CV12" i="1" s="1"/>
  <c r="CW12" i="1" s="1"/>
  <c r="CX12" i="1" s="1"/>
  <c r="CY12" i="1" s="1"/>
  <c r="CZ12" i="1" s="1"/>
  <c r="DA12" i="1" s="1"/>
  <c r="DB12" i="1" s="1"/>
  <c r="DC12" i="1" s="1"/>
  <c r="DD12" i="1" s="1"/>
  <c r="DE12" i="1" s="1"/>
  <c r="DF12" i="1" s="1"/>
  <c r="DG12" i="1" s="1"/>
  <c r="L50" i="1"/>
  <c r="M50" i="1" s="1"/>
  <c r="N50" i="1" s="1"/>
  <c r="O50" i="1" s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AB50" i="1" s="1"/>
  <c r="AC50" i="1" s="1"/>
  <c r="AD50" i="1" s="1"/>
  <c r="AE50" i="1" s="1"/>
  <c r="AF50" i="1" s="1"/>
  <c r="AG50" i="1" s="1"/>
  <c r="AH50" i="1" s="1"/>
  <c r="AI50" i="1" s="1"/>
  <c r="AJ50" i="1" s="1"/>
  <c r="AK50" i="1" s="1"/>
  <c r="AL50" i="1" s="1"/>
  <c r="AM50" i="1" s="1"/>
  <c r="AN50" i="1" s="1"/>
  <c r="AO50" i="1" s="1"/>
  <c r="AP50" i="1" s="1"/>
  <c r="AQ50" i="1" s="1"/>
  <c r="AR50" i="1" s="1"/>
  <c r="AS50" i="1" s="1"/>
  <c r="AT50" i="1" s="1"/>
  <c r="AU50" i="1" s="1"/>
  <c r="AV50" i="1" s="1"/>
  <c r="AW50" i="1" s="1"/>
  <c r="AX50" i="1" s="1"/>
  <c r="AY50" i="1" s="1"/>
  <c r="AZ50" i="1" s="1"/>
  <c r="BA50" i="1" s="1"/>
  <c r="BB50" i="1" s="1"/>
  <c r="BC50" i="1" s="1"/>
  <c r="BD50" i="1" s="1"/>
  <c r="BE50" i="1" s="1"/>
  <c r="BF50" i="1" s="1"/>
  <c r="BG50" i="1" s="1"/>
  <c r="BH50" i="1" s="1"/>
  <c r="BI50" i="1" s="1"/>
  <c r="BJ50" i="1" s="1"/>
  <c r="BK50" i="1" s="1"/>
  <c r="BL50" i="1" s="1"/>
  <c r="BM50" i="1" s="1"/>
  <c r="BN50" i="1" s="1"/>
  <c r="BO50" i="1" s="1"/>
  <c r="BP50" i="1" s="1"/>
  <c r="BQ50" i="1" s="1"/>
  <c r="BR50" i="1" s="1"/>
  <c r="BS50" i="1" s="1"/>
  <c r="BT50" i="1" s="1"/>
  <c r="BU50" i="1" s="1"/>
  <c r="BV50" i="1" s="1"/>
  <c r="BW50" i="1" s="1"/>
  <c r="BX50" i="1" s="1"/>
  <c r="BY50" i="1" s="1"/>
  <c r="BZ50" i="1" s="1"/>
  <c r="CA50" i="1" s="1"/>
  <c r="CB50" i="1" s="1"/>
  <c r="CC50" i="1" s="1"/>
  <c r="CD50" i="1" s="1"/>
  <c r="CE50" i="1" s="1"/>
  <c r="CF50" i="1" s="1"/>
  <c r="CG50" i="1" s="1"/>
  <c r="CH50" i="1" s="1"/>
  <c r="CI50" i="1" s="1"/>
  <c r="CJ50" i="1" s="1"/>
  <c r="CK50" i="1" s="1"/>
  <c r="CL50" i="1" s="1"/>
  <c r="CM50" i="1" s="1"/>
  <c r="CN50" i="1" s="1"/>
  <c r="CO50" i="1" s="1"/>
  <c r="CP50" i="1" s="1"/>
  <c r="CQ50" i="1" s="1"/>
  <c r="CR50" i="1" s="1"/>
  <c r="CS50" i="1" s="1"/>
  <c r="CT50" i="1" s="1"/>
  <c r="CU50" i="1" s="1"/>
  <c r="CV50" i="1" s="1"/>
  <c r="CW50" i="1" s="1"/>
  <c r="CX50" i="1" s="1"/>
  <c r="CY50" i="1" s="1"/>
  <c r="CZ50" i="1" s="1"/>
  <c r="DA50" i="1" s="1"/>
  <c r="DB50" i="1" s="1"/>
  <c r="DC50" i="1" s="1"/>
  <c r="DD50" i="1" s="1"/>
  <c r="DE50" i="1" s="1"/>
  <c r="DF50" i="1" s="1"/>
  <c r="DG50" i="1" s="1"/>
  <c r="K54" i="1"/>
  <c r="L53" i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AB53" i="1" s="1"/>
  <c r="AC53" i="1" s="1"/>
  <c r="AD53" i="1" s="1"/>
  <c r="AE53" i="1" s="1"/>
  <c r="AF53" i="1" s="1"/>
  <c r="AG53" i="1" s="1"/>
  <c r="AH53" i="1" s="1"/>
  <c r="AI53" i="1" s="1"/>
  <c r="AJ53" i="1" s="1"/>
  <c r="AK53" i="1" s="1"/>
  <c r="AL53" i="1" s="1"/>
  <c r="AM53" i="1" s="1"/>
  <c r="AN53" i="1" s="1"/>
  <c r="AO53" i="1" s="1"/>
  <c r="AP53" i="1" s="1"/>
  <c r="AQ53" i="1" s="1"/>
  <c r="AR53" i="1" s="1"/>
  <c r="AS53" i="1" s="1"/>
  <c r="AT53" i="1" s="1"/>
  <c r="AU53" i="1" s="1"/>
  <c r="AV53" i="1" s="1"/>
  <c r="AW53" i="1" s="1"/>
  <c r="AX53" i="1" s="1"/>
  <c r="AY53" i="1" s="1"/>
  <c r="AZ53" i="1" s="1"/>
  <c r="BA53" i="1" s="1"/>
  <c r="BB53" i="1" s="1"/>
  <c r="BC53" i="1" s="1"/>
  <c r="BD53" i="1" s="1"/>
  <c r="BE53" i="1" s="1"/>
  <c r="BF53" i="1" s="1"/>
  <c r="BG53" i="1" s="1"/>
  <c r="BH53" i="1" s="1"/>
  <c r="BI53" i="1" s="1"/>
  <c r="BJ53" i="1" s="1"/>
  <c r="BK53" i="1" s="1"/>
  <c r="BL53" i="1" s="1"/>
  <c r="BM53" i="1" s="1"/>
  <c r="BN53" i="1" s="1"/>
  <c r="BO53" i="1" s="1"/>
  <c r="BP53" i="1" s="1"/>
  <c r="BQ53" i="1" s="1"/>
  <c r="BR53" i="1" s="1"/>
  <c r="BS53" i="1" s="1"/>
  <c r="BT53" i="1" s="1"/>
  <c r="BU53" i="1" s="1"/>
  <c r="BV53" i="1" s="1"/>
  <c r="BW53" i="1" s="1"/>
  <c r="BX53" i="1" s="1"/>
  <c r="BY53" i="1" s="1"/>
  <c r="BZ53" i="1" s="1"/>
  <c r="CA53" i="1" s="1"/>
  <c r="CB53" i="1" s="1"/>
  <c r="CC53" i="1" s="1"/>
  <c r="CD53" i="1" s="1"/>
  <c r="CE53" i="1" s="1"/>
  <c r="CF53" i="1" s="1"/>
  <c r="CG53" i="1" s="1"/>
  <c r="CH53" i="1" s="1"/>
  <c r="CI53" i="1" s="1"/>
  <c r="CJ53" i="1" s="1"/>
  <c r="CK53" i="1" s="1"/>
  <c r="CL53" i="1" s="1"/>
  <c r="CM53" i="1" s="1"/>
  <c r="CN53" i="1" s="1"/>
  <c r="CO53" i="1" s="1"/>
  <c r="CP53" i="1" s="1"/>
  <c r="CQ53" i="1" s="1"/>
  <c r="CR53" i="1" s="1"/>
  <c r="CS53" i="1" s="1"/>
  <c r="CT53" i="1" s="1"/>
  <c r="CU53" i="1" s="1"/>
  <c r="CV53" i="1" s="1"/>
  <c r="CW53" i="1" s="1"/>
  <c r="CX53" i="1" s="1"/>
  <c r="CY53" i="1" s="1"/>
  <c r="CZ53" i="1" s="1"/>
  <c r="DA53" i="1" s="1"/>
  <c r="DB53" i="1" s="1"/>
  <c r="DC53" i="1" s="1"/>
  <c r="DD53" i="1" s="1"/>
  <c r="DE53" i="1" s="1"/>
  <c r="DF53" i="1" s="1"/>
  <c r="DG53" i="1" s="1"/>
  <c r="L49" i="1"/>
  <c r="M49" i="1" s="1"/>
  <c r="N49" i="1" s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AG49" i="1" s="1"/>
  <c r="AH49" i="1" s="1"/>
  <c r="AI49" i="1" s="1"/>
  <c r="AJ49" i="1" s="1"/>
  <c r="AK49" i="1" s="1"/>
  <c r="AL49" i="1" s="1"/>
  <c r="AM49" i="1" s="1"/>
  <c r="AN49" i="1" s="1"/>
  <c r="AO49" i="1" s="1"/>
  <c r="AP49" i="1" s="1"/>
  <c r="AQ49" i="1" s="1"/>
  <c r="AR49" i="1" s="1"/>
  <c r="AS49" i="1" s="1"/>
  <c r="AT49" i="1" s="1"/>
  <c r="AU49" i="1" s="1"/>
  <c r="AV49" i="1" s="1"/>
  <c r="AW49" i="1" s="1"/>
  <c r="AX49" i="1" s="1"/>
  <c r="AY49" i="1" s="1"/>
  <c r="AZ49" i="1" s="1"/>
  <c r="BA49" i="1" s="1"/>
  <c r="BB49" i="1" s="1"/>
  <c r="BC49" i="1" s="1"/>
  <c r="BD49" i="1" s="1"/>
  <c r="BE49" i="1" s="1"/>
  <c r="BF49" i="1" s="1"/>
  <c r="BG49" i="1" s="1"/>
  <c r="BH49" i="1" s="1"/>
  <c r="BI49" i="1" s="1"/>
  <c r="BJ49" i="1" s="1"/>
  <c r="BK49" i="1" s="1"/>
  <c r="BL49" i="1" s="1"/>
  <c r="BM49" i="1" s="1"/>
  <c r="BN49" i="1" s="1"/>
  <c r="BO49" i="1" s="1"/>
  <c r="BP49" i="1" s="1"/>
  <c r="BQ49" i="1" s="1"/>
  <c r="BR49" i="1" s="1"/>
  <c r="BS49" i="1" s="1"/>
  <c r="BT49" i="1" s="1"/>
  <c r="BU49" i="1" s="1"/>
  <c r="BV49" i="1" s="1"/>
  <c r="BW49" i="1" s="1"/>
  <c r="BX49" i="1" s="1"/>
  <c r="BY49" i="1" s="1"/>
  <c r="BZ49" i="1" s="1"/>
  <c r="CA49" i="1" s="1"/>
  <c r="CB49" i="1" s="1"/>
  <c r="CC49" i="1" s="1"/>
  <c r="CD49" i="1" s="1"/>
  <c r="CE49" i="1" s="1"/>
  <c r="CF49" i="1" s="1"/>
  <c r="CG49" i="1" s="1"/>
  <c r="CH49" i="1" s="1"/>
  <c r="CI49" i="1" s="1"/>
  <c r="CJ49" i="1" s="1"/>
  <c r="CK49" i="1" s="1"/>
  <c r="CL49" i="1" s="1"/>
  <c r="CM49" i="1" s="1"/>
  <c r="CN49" i="1" s="1"/>
  <c r="CO49" i="1" s="1"/>
  <c r="CP49" i="1" s="1"/>
  <c r="CQ49" i="1" s="1"/>
  <c r="CR49" i="1" s="1"/>
  <c r="CS49" i="1" s="1"/>
  <c r="CT49" i="1" s="1"/>
  <c r="CU49" i="1" s="1"/>
  <c r="CV49" i="1" s="1"/>
  <c r="CW49" i="1" s="1"/>
  <c r="CX49" i="1" s="1"/>
  <c r="CY49" i="1" s="1"/>
  <c r="CZ49" i="1" s="1"/>
  <c r="DA49" i="1" s="1"/>
  <c r="DB49" i="1" s="1"/>
  <c r="DC49" i="1" s="1"/>
  <c r="DD49" i="1" s="1"/>
  <c r="DE49" i="1" s="1"/>
  <c r="DF49" i="1" s="1"/>
  <c r="DG49" i="1" s="1"/>
  <c r="T131" i="1"/>
  <c r="T184" i="1"/>
  <c r="T215" i="1"/>
  <c r="O186" i="1"/>
  <c r="O185" i="1"/>
  <c r="O126" i="1"/>
  <c r="T144" i="1"/>
  <c r="T231" i="1"/>
  <c r="X220" i="1"/>
  <c r="T213" i="1"/>
  <c r="T180" i="1"/>
  <c r="T162" i="1"/>
  <c r="T120" i="1"/>
  <c r="X86" i="1"/>
  <c r="O248" i="1"/>
  <c r="O124" i="1"/>
  <c r="T244" i="1"/>
  <c r="U138" i="1"/>
  <c r="T167" i="1"/>
  <c r="O247" i="1"/>
  <c r="O105" i="1"/>
  <c r="T116" i="1"/>
  <c r="U123" i="1"/>
  <c r="O246" i="1"/>
  <c r="O104" i="1"/>
  <c r="U156" i="1"/>
  <c r="T238" i="1"/>
  <c r="T225" i="1"/>
  <c r="O232" i="1"/>
  <c r="T251" i="1"/>
  <c r="T156" i="1"/>
  <c r="U134" i="1"/>
  <c r="O166" i="1"/>
  <c r="O226" i="1"/>
  <c r="P240" i="1"/>
  <c r="T206" i="1"/>
  <c r="T134" i="1"/>
  <c r="O165" i="1"/>
  <c r="O187" i="1"/>
  <c r="O225" i="1"/>
  <c r="O164" i="1"/>
  <c r="O103" i="1"/>
  <c r="O224" i="1"/>
  <c r="O163" i="1"/>
  <c r="O102" i="1"/>
  <c r="X248" i="1"/>
  <c r="T197" i="1"/>
  <c r="T119" i="1"/>
  <c r="X190" i="1"/>
  <c r="O149" i="1"/>
  <c r="X235" i="1"/>
  <c r="O208" i="1"/>
  <c r="O142" i="1"/>
  <c r="O81" i="1"/>
  <c r="T234" i="1"/>
  <c r="U202" i="1"/>
  <c r="T186" i="1"/>
  <c r="T74" i="1"/>
  <c r="O202" i="1"/>
  <c r="O141" i="1"/>
  <c r="O80" i="1"/>
  <c r="T228" i="1"/>
  <c r="T208" i="1"/>
  <c r="U165" i="1"/>
  <c r="O210" i="1"/>
  <c r="O88" i="1"/>
  <c r="O209" i="1"/>
  <c r="O148" i="1"/>
  <c r="O82" i="1"/>
  <c r="U234" i="1"/>
  <c r="O249" i="1"/>
  <c r="O188" i="1"/>
  <c r="O127" i="1"/>
  <c r="U251" i="1"/>
  <c r="T222" i="1"/>
  <c r="T173" i="1"/>
  <c r="T165" i="1"/>
  <c r="U112" i="1"/>
  <c r="X209" i="1"/>
  <c r="X175" i="1"/>
  <c r="X97" i="1"/>
  <c r="X202" i="1"/>
  <c r="X109" i="1"/>
  <c r="X94" i="1"/>
  <c r="X116" i="1"/>
  <c r="X153" i="1"/>
  <c r="X232" i="1"/>
  <c r="X73" i="1"/>
  <c r="X79" i="1"/>
  <c r="X72" i="1"/>
  <c r="X78" i="1"/>
  <c r="X84" i="1"/>
  <c r="X90" i="1"/>
  <c r="X96" i="1"/>
  <c r="X102" i="1"/>
  <c r="X108" i="1"/>
  <c r="X114" i="1"/>
  <c r="X120" i="1"/>
  <c r="X126" i="1"/>
  <c r="X132" i="1"/>
  <c r="X138" i="1"/>
  <c r="X144" i="1"/>
  <c r="X150" i="1"/>
  <c r="X156" i="1"/>
  <c r="X162" i="1"/>
  <c r="X168" i="1"/>
  <c r="X71" i="1"/>
  <c r="X77" i="1"/>
  <c r="X83" i="1"/>
  <c r="X89" i="1"/>
  <c r="X95" i="1"/>
  <c r="X101" i="1"/>
  <c r="X107" i="1"/>
  <c r="X113" i="1"/>
  <c r="X119" i="1"/>
  <c r="X125" i="1"/>
  <c r="X131" i="1"/>
  <c r="X137" i="1"/>
  <c r="X143" i="1"/>
  <c r="X99" i="1"/>
  <c r="X123" i="1"/>
  <c r="X81" i="1"/>
  <c r="X88" i="1"/>
  <c r="X91" i="1"/>
  <c r="X112" i="1"/>
  <c r="X115" i="1"/>
  <c r="X136" i="1"/>
  <c r="X139" i="1"/>
  <c r="X151" i="1"/>
  <c r="X154" i="1"/>
  <c r="X164" i="1"/>
  <c r="X167" i="1"/>
  <c r="X171" i="1"/>
  <c r="X177" i="1"/>
  <c r="X183" i="1"/>
  <c r="X189" i="1"/>
  <c r="X195" i="1"/>
  <c r="X75" i="1"/>
  <c r="X104" i="1"/>
  <c r="X128" i="1"/>
  <c r="X69" i="1"/>
  <c r="X74" i="1"/>
  <c r="X87" i="1"/>
  <c r="X117" i="1"/>
  <c r="X152" i="1"/>
  <c r="X160" i="1"/>
  <c r="X176" i="1"/>
  <c r="X186" i="1"/>
  <c r="X196" i="1"/>
  <c r="X85" i="1"/>
  <c r="X100" i="1"/>
  <c r="X121" i="1"/>
  <c r="X130" i="1"/>
  <c r="X201" i="1"/>
  <c r="X207" i="1"/>
  <c r="X213" i="1"/>
  <c r="X219" i="1"/>
  <c r="X225" i="1"/>
  <c r="X231" i="1"/>
  <c r="X237" i="1"/>
  <c r="X243" i="1"/>
  <c r="X249" i="1"/>
  <c r="X80" i="1"/>
  <c r="X98" i="1"/>
  <c r="X134" i="1"/>
  <c r="X158" i="1"/>
  <c r="X166" i="1"/>
  <c r="X179" i="1"/>
  <c r="X182" i="1"/>
  <c r="X192" i="1"/>
  <c r="X111" i="1"/>
  <c r="X141" i="1"/>
  <c r="X147" i="1"/>
  <c r="X170" i="1"/>
  <c r="X173" i="1"/>
  <c r="X200" i="1"/>
  <c r="X206" i="1"/>
  <c r="X212" i="1"/>
  <c r="X218" i="1"/>
  <c r="X105" i="1"/>
  <c r="X135" i="1"/>
  <c r="X124" i="1"/>
  <c r="X127" i="1"/>
  <c r="X184" i="1"/>
  <c r="X228" i="1"/>
  <c r="X238" i="1"/>
  <c r="X241" i="1"/>
  <c r="X70" i="1"/>
  <c r="X145" i="1"/>
  <c r="X165" i="1"/>
  <c r="X197" i="1"/>
  <c r="X199" i="1"/>
  <c r="X215" i="1"/>
  <c r="X217" i="1"/>
  <c r="X222" i="1"/>
  <c r="X106" i="1"/>
  <c r="X142" i="1"/>
  <c r="X157" i="1"/>
  <c r="X178" i="1"/>
  <c r="X180" i="1"/>
  <c r="X191" i="1"/>
  <c r="X193" i="1"/>
  <c r="X234" i="1"/>
  <c r="X244" i="1"/>
  <c r="X247" i="1"/>
  <c r="X251" i="1"/>
  <c r="X148" i="1"/>
  <c r="X208" i="1"/>
  <c r="X210" i="1"/>
  <c r="X224" i="1"/>
  <c r="X76" i="1"/>
  <c r="X92" i="1"/>
  <c r="X103" i="1"/>
  <c r="X149" i="1"/>
  <c r="X163" i="1"/>
  <c r="X185" i="1"/>
  <c r="X187" i="1"/>
  <c r="X227" i="1"/>
  <c r="X230" i="1"/>
  <c r="X240" i="1"/>
  <c r="X250" i="1"/>
  <c r="X110" i="1"/>
  <c r="X118" i="1"/>
  <c r="X203" i="1"/>
  <c r="X205" i="1"/>
  <c r="X122" i="1"/>
  <c r="X129" i="1"/>
  <c r="X133" i="1"/>
  <c r="X146" i="1"/>
  <c r="X155" i="1"/>
  <c r="X169" i="1"/>
  <c r="X174" i="1"/>
  <c r="X181" i="1"/>
  <c r="X194" i="1"/>
  <c r="X221" i="1"/>
  <c r="X233" i="1"/>
  <c r="X236" i="1"/>
  <c r="X246" i="1"/>
  <c r="X93" i="1"/>
  <c r="X140" i="1"/>
  <c r="X198" i="1"/>
  <c r="X214" i="1"/>
  <c r="X216" i="1"/>
  <c r="X82" i="1"/>
  <c r="X161" i="1"/>
  <c r="X172" i="1"/>
  <c r="X188" i="1"/>
  <c r="X223" i="1"/>
  <c r="X226" i="1"/>
  <c r="X229" i="1"/>
  <c r="X239" i="1"/>
  <c r="X242" i="1"/>
  <c r="X211" i="1"/>
  <c r="X204" i="1"/>
  <c r="P195" i="1"/>
  <c r="P193" i="1"/>
  <c r="P182" i="1"/>
  <c r="P180" i="1"/>
  <c r="P130" i="1"/>
  <c r="U108" i="1"/>
  <c r="U104" i="1"/>
  <c r="O245" i="1"/>
  <c r="O223" i="1"/>
  <c r="O201" i="1"/>
  <c r="O184" i="1"/>
  <c r="O162" i="1"/>
  <c r="O140" i="1"/>
  <c r="O118" i="1"/>
  <c r="O101" i="1"/>
  <c r="O79" i="1"/>
  <c r="T220" i="1"/>
  <c r="T218" i="1"/>
  <c r="T202" i="1"/>
  <c r="T200" i="1"/>
  <c r="U179" i="1"/>
  <c r="T108" i="1"/>
  <c r="T104" i="1"/>
  <c r="V71" i="1"/>
  <c r="V206" i="1"/>
  <c r="U101" i="1"/>
  <c r="U107" i="1"/>
  <c r="U113" i="1"/>
  <c r="U125" i="1"/>
  <c r="U131" i="1"/>
  <c r="U70" i="1"/>
  <c r="U76" i="1"/>
  <c r="U82" i="1"/>
  <c r="U79" i="1"/>
  <c r="U93" i="1"/>
  <c r="U147" i="1"/>
  <c r="U157" i="1"/>
  <c r="U160" i="1"/>
  <c r="U170" i="1"/>
  <c r="U182" i="1"/>
  <c r="U188" i="1"/>
  <c r="U98" i="1"/>
  <c r="U106" i="1"/>
  <c r="U122" i="1"/>
  <c r="U130" i="1"/>
  <c r="U153" i="1"/>
  <c r="U163" i="1"/>
  <c r="U162" i="1"/>
  <c r="U173" i="1"/>
  <c r="U200" i="1"/>
  <c r="U206" i="1"/>
  <c r="U218" i="1"/>
  <c r="U224" i="1"/>
  <c r="U164" i="1"/>
  <c r="U185" i="1"/>
  <c r="U195" i="1"/>
  <c r="U72" i="1"/>
  <c r="U92" i="1"/>
  <c r="U94" i="1"/>
  <c r="U205" i="1"/>
  <c r="U211" i="1"/>
  <c r="U217" i="1"/>
  <c r="U223" i="1"/>
  <c r="U105" i="1"/>
  <c r="U126" i="1"/>
  <c r="U114" i="1"/>
  <c r="U129" i="1"/>
  <c r="O244" i="1"/>
  <c r="O222" i="1"/>
  <c r="O200" i="1"/>
  <c r="O178" i="1"/>
  <c r="O161" i="1"/>
  <c r="O139" i="1"/>
  <c r="O117" i="1"/>
  <c r="O100" i="1"/>
  <c r="O78" i="1"/>
  <c r="T245" i="1"/>
  <c r="T242" i="1"/>
  <c r="T232" i="1"/>
  <c r="T192" i="1"/>
  <c r="T190" i="1"/>
  <c r="T179" i="1"/>
  <c r="T177" i="1"/>
  <c r="T161" i="1"/>
  <c r="T158" i="1"/>
  <c r="T137" i="1"/>
  <c r="T89" i="1"/>
  <c r="T71" i="1"/>
  <c r="T77" i="1"/>
  <c r="T83" i="1"/>
  <c r="T70" i="1"/>
  <c r="T76" i="1"/>
  <c r="T82" i="1"/>
  <c r="T88" i="1"/>
  <c r="T94" i="1"/>
  <c r="T100" i="1"/>
  <c r="T106" i="1"/>
  <c r="T112" i="1"/>
  <c r="T118" i="1"/>
  <c r="T124" i="1"/>
  <c r="T130" i="1"/>
  <c r="T136" i="1"/>
  <c r="T142" i="1"/>
  <c r="T148" i="1"/>
  <c r="T154" i="1"/>
  <c r="T160" i="1"/>
  <c r="T166" i="1"/>
  <c r="T69" i="1"/>
  <c r="T75" i="1"/>
  <c r="T81" i="1"/>
  <c r="T87" i="1"/>
  <c r="T93" i="1"/>
  <c r="T99" i="1"/>
  <c r="T105" i="1"/>
  <c r="T111" i="1"/>
  <c r="T117" i="1"/>
  <c r="T123" i="1"/>
  <c r="T129" i="1"/>
  <c r="T135" i="1"/>
  <c r="T141" i="1"/>
  <c r="T73" i="1"/>
  <c r="T85" i="1"/>
  <c r="T109" i="1"/>
  <c r="T133" i="1"/>
  <c r="T98" i="1"/>
  <c r="T101" i="1"/>
  <c r="T122" i="1"/>
  <c r="T125" i="1"/>
  <c r="T150" i="1"/>
  <c r="T153" i="1"/>
  <c r="T163" i="1"/>
  <c r="T175" i="1"/>
  <c r="T181" i="1"/>
  <c r="T187" i="1"/>
  <c r="T193" i="1"/>
  <c r="T90" i="1"/>
  <c r="T114" i="1"/>
  <c r="T138" i="1"/>
  <c r="T115" i="1"/>
  <c r="T164" i="1"/>
  <c r="T182" i="1"/>
  <c r="T185" i="1"/>
  <c r="T195" i="1"/>
  <c r="T72" i="1"/>
  <c r="T92" i="1"/>
  <c r="T113" i="1"/>
  <c r="T128" i="1"/>
  <c r="T143" i="1"/>
  <c r="T145" i="1"/>
  <c r="T168" i="1"/>
  <c r="T199" i="1"/>
  <c r="T205" i="1"/>
  <c r="T211" i="1"/>
  <c r="T217" i="1"/>
  <c r="T223" i="1"/>
  <c r="T229" i="1"/>
  <c r="T235" i="1"/>
  <c r="T241" i="1"/>
  <c r="T247" i="1"/>
  <c r="T96" i="1"/>
  <c r="T126" i="1"/>
  <c r="T147" i="1"/>
  <c r="T149" i="1"/>
  <c r="T170" i="1"/>
  <c r="T178" i="1"/>
  <c r="T188" i="1"/>
  <c r="T191" i="1"/>
  <c r="T78" i="1"/>
  <c r="T103" i="1"/>
  <c r="T139" i="1"/>
  <c r="T151" i="1"/>
  <c r="T159" i="1"/>
  <c r="T198" i="1"/>
  <c r="T204" i="1"/>
  <c r="T210" i="1"/>
  <c r="T216" i="1"/>
  <c r="T84" i="1"/>
  <c r="T97" i="1"/>
  <c r="T127" i="1"/>
  <c r="O238" i="1"/>
  <c r="O221" i="1"/>
  <c r="O199" i="1"/>
  <c r="O177" i="1"/>
  <c r="O160" i="1"/>
  <c r="O138" i="1"/>
  <c r="O116" i="1"/>
  <c r="O94" i="1"/>
  <c r="O77" i="1"/>
  <c r="U239" i="1"/>
  <c r="U229" i="1"/>
  <c r="U226" i="1"/>
  <c r="T209" i="1"/>
  <c r="T207" i="1"/>
  <c r="U183" i="1"/>
  <c r="U172" i="1"/>
  <c r="O237" i="1"/>
  <c r="O220" i="1"/>
  <c r="O198" i="1"/>
  <c r="O176" i="1"/>
  <c r="O154" i="1"/>
  <c r="O137" i="1"/>
  <c r="O115" i="1"/>
  <c r="O93" i="1"/>
  <c r="O76" i="1"/>
  <c r="T249" i="1"/>
  <c r="T239" i="1"/>
  <c r="T236" i="1"/>
  <c r="T226" i="1"/>
  <c r="U214" i="1"/>
  <c r="U198" i="1"/>
  <c r="T196" i="1"/>
  <c r="T194" i="1"/>
  <c r="T183" i="1"/>
  <c r="T172" i="1"/>
  <c r="T155" i="1"/>
  <c r="T152" i="1"/>
  <c r="U140" i="1"/>
  <c r="U118" i="1"/>
  <c r="T107" i="1"/>
  <c r="O236" i="1"/>
  <c r="O214" i="1"/>
  <c r="O197" i="1"/>
  <c r="O175" i="1"/>
  <c r="O153" i="1"/>
  <c r="O136" i="1"/>
  <c r="O114" i="1"/>
  <c r="O92" i="1"/>
  <c r="U246" i="1"/>
  <c r="U243" i="1"/>
  <c r="U221" i="1"/>
  <c r="P218" i="1"/>
  <c r="P216" i="1"/>
  <c r="T214" i="1"/>
  <c r="T212" i="1"/>
  <c r="P200" i="1"/>
  <c r="P198" i="1"/>
  <c r="U189" i="1"/>
  <c r="T176" i="1"/>
  <c r="U146" i="1"/>
  <c r="T140" i="1"/>
  <c r="T132" i="1"/>
  <c r="P96" i="1"/>
  <c r="U80" i="1"/>
  <c r="O235" i="1"/>
  <c r="O213" i="1"/>
  <c r="O196" i="1"/>
  <c r="O174" i="1"/>
  <c r="O152" i="1"/>
  <c r="O130" i="1"/>
  <c r="O113" i="1"/>
  <c r="O91" i="1"/>
  <c r="T246" i="1"/>
  <c r="T243" i="1"/>
  <c r="P242" i="1"/>
  <c r="T233" i="1"/>
  <c r="T230" i="1"/>
  <c r="P229" i="1"/>
  <c r="T224" i="1"/>
  <c r="T221" i="1"/>
  <c r="U219" i="1"/>
  <c r="T189" i="1"/>
  <c r="T174" i="1"/>
  <c r="U171" i="1"/>
  <c r="T169" i="1"/>
  <c r="T146" i="1"/>
  <c r="V139" i="1"/>
  <c r="P129" i="1"/>
  <c r="T121" i="1"/>
  <c r="U88" i="1"/>
  <c r="T80" i="1"/>
  <c r="P76" i="1"/>
  <c r="P110" i="1"/>
  <c r="P116" i="1"/>
  <c r="P122" i="1"/>
  <c r="P128" i="1"/>
  <c r="P134" i="1"/>
  <c r="P152" i="1"/>
  <c r="P97" i="1"/>
  <c r="P103" i="1"/>
  <c r="P121" i="1"/>
  <c r="P127" i="1"/>
  <c r="P139" i="1"/>
  <c r="P95" i="1"/>
  <c r="P159" i="1"/>
  <c r="P173" i="1"/>
  <c r="P179" i="1"/>
  <c r="P185" i="1"/>
  <c r="P191" i="1"/>
  <c r="P197" i="1"/>
  <c r="P175" i="1"/>
  <c r="P181" i="1"/>
  <c r="P184" i="1"/>
  <c r="P194" i="1"/>
  <c r="P90" i="1"/>
  <c r="P141" i="1"/>
  <c r="P239" i="1"/>
  <c r="P245" i="1"/>
  <c r="P118" i="1"/>
  <c r="P153" i="1"/>
  <c r="P177" i="1"/>
  <c r="P187" i="1"/>
  <c r="P220" i="1"/>
  <c r="P89" i="1"/>
  <c r="P125" i="1"/>
  <c r="O234" i="1"/>
  <c r="O212" i="1"/>
  <c r="O190" i="1"/>
  <c r="O173" i="1"/>
  <c r="O151" i="1"/>
  <c r="O129" i="1"/>
  <c r="O112" i="1"/>
  <c r="O90" i="1"/>
  <c r="U240" i="1"/>
  <c r="U237" i="1"/>
  <c r="U227" i="1"/>
  <c r="T219" i="1"/>
  <c r="P207" i="1"/>
  <c r="P205" i="1"/>
  <c r="T203" i="1"/>
  <c r="T201" i="1"/>
  <c r="U187" i="1"/>
  <c r="T171" i="1"/>
  <c r="T157" i="1"/>
  <c r="U139" i="1"/>
  <c r="P117" i="1"/>
  <c r="P114" i="1"/>
  <c r="T110" i="1"/>
  <c r="T102" i="1"/>
  <c r="U91" i="1"/>
  <c r="O250" i="1"/>
  <c r="O233" i="1"/>
  <c r="O211" i="1"/>
  <c r="O189" i="1"/>
  <c r="O172" i="1"/>
  <c r="O150" i="1"/>
  <c r="O128" i="1"/>
  <c r="O106" i="1"/>
  <c r="O89" i="1"/>
  <c r="T250" i="1"/>
  <c r="P249" i="1"/>
  <c r="T240" i="1"/>
  <c r="T237" i="1"/>
  <c r="T227" i="1"/>
  <c r="U210" i="1"/>
  <c r="U208" i="1"/>
  <c r="P196" i="1"/>
  <c r="P183" i="1"/>
  <c r="U151" i="1"/>
  <c r="U148" i="1"/>
  <c r="U142" i="1"/>
  <c r="T95" i="1"/>
  <c r="T91" i="1"/>
  <c r="T79" i="1"/>
  <c r="O243" i="1"/>
  <c r="O231" i="1"/>
  <c r="O219" i="1"/>
  <c r="O207" i="1"/>
  <c r="O195" i="1"/>
  <c r="O183" i="1"/>
  <c r="O171" i="1"/>
  <c r="O159" i="1"/>
  <c r="O147" i="1"/>
  <c r="O135" i="1"/>
  <c r="O123" i="1"/>
  <c r="O111" i="1"/>
  <c r="O99" i="1"/>
  <c r="O87" i="1"/>
  <c r="O75" i="1"/>
  <c r="O242" i="1"/>
  <c r="O230" i="1"/>
  <c r="O218" i="1"/>
  <c r="O206" i="1"/>
  <c r="O194" i="1"/>
  <c r="O182" i="1"/>
  <c r="O170" i="1"/>
  <c r="O158" i="1"/>
  <c r="O146" i="1"/>
  <c r="O134" i="1"/>
  <c r="O122" i="1"/>
  <c r="O110" i="1"/>
  <c r="O98" i="1"/>
  <c r="O86" i="1"/>
  <c r="O74" i="1"/>
  <c r="O241" i="1"/>
  <c r="O229" i="1"/>
  <c r="O217" i="1"/>
  <c r="O205" i="1"/>
  <c r="O193" i="1"/>
  <c r="O181" i="1"/>
  <c r="O169" i="1"/>
  <c r="O157" i="1"/>
  <c r="O145" i="1"/>
  <c r="O133" i="1"/>
  <c r="O121" i="1"/>
  <c r="O109" i="1"/>
  <c r="O97" i="1"/>
  <c r="O85" i="1"/>
  <c r="O73" i="1"/>
  <c r="O240" i="1"/>
  <c r="O228" i="1"/>
  <c r="O216" i="1"/>
  <c r="O204" i="1"/>
  <c r="O192" i="1"/>
  <c r="O180" i="1"/>
  <c r="O168" i="1"/>
  <c r="O156" i="1"/>
  <c r="O144" i="1"/>
  <c r="O132" i="1"/>
  <c r="O120" i="1"/>
  <c r="O108" i="1"/>
  <c r="O96" i="1"/>
  <c r="O84" i="1"/>
  <c r="O72" i="1"/>
  <c r="O251" i="1"/>
  <c r="O239" i="1"/>
  <c r="O227" i="1"/>
  <c r="O215" i="1"/>
  <c r="O203" i="1"/>
  <c r="O191" i="1"/>
  <c r="O179" i="1"/>
  <c r="O167" i="1"/>
  <c r="O155" i="1"/>
  <c r="O143" i="1"/>
  <c r="O131" i="1"/>
  <c r="O119" i="1"/>
  <c r="O107" i="1"/>
  <c r="O95" i="1"/>
  <c r="O83" i="1"/>
  <c r="O71" i="1"/>
  <c r="O70" i="1"/>
  <c r="K25" i="1"/>
  <c r="V148" i="1" l="1"/>
  <c r="V75" i="1"/>
  <c r="P214" i="1"/>
  <c r="P233" i="1"/>
  <c r="P172" i="1"/>
  <c r="P149" i="1"/>
  <c r="P91" i="1"/>
  <c r="P104" i="1"/>
  <c r="P235" i="1"/>
  <c r="P222" i="1"/>
  <c r="P154" i="1"/>
  <c r="P160" i="1"/>
  <c r="P165" i="1"/>
  <c r="P227" i="1"/>
  <c r="P155" i="1"/>
  <c r="P111" i="1"/>
  <c r="P85" i="1"/>
  <c r="P98" i="1"/>
  <c r="P250" i="1"/>
  <c r="P236" i="1"/>
  <c r="P169" i="1"/>
  <c r="P163" i="1"/>
  <c r="P221" i="1"/>
  <c r="P137" i="1"/>
  <c r="P108" i="1"/>
  <c r="P79" i="1"/>
  <c r="P86" i="1"/>
  <c r="P238" i="1"/>
  <c r="P228" i="1"/>
  <c r="P176" i="1"/>
  <c r="P131" i="1"/>
  <c r="P215" i="1"/>
  <c r="P107" i="1"/>
  <c r="P87" i="1"/>
  <c r="P73" i="1"/>
  <c r="P80" i="1"/>
  <c r="P166" i="1"/>
  <c r="P93" i="1"/>
  <c r="P101" i="1"/>
  <c r="P209" i="1"/>
  <c r="P84" i="1"/>
  <c r="P143" i="1"/>
  <c r="P170" i="1"/>
  <c r="P75" i="1"/>
  <c r="P167" i="1"/>
  <c r="P248" i="1"/>
  <c r="P126" i="1"/>
  <c r="P99" i="1"/>
  <c r="P246" i="1"/>
  <c r="P190" i="1"/>
  <c r="P157" i="1"/>
  <c r="P78" i="1"/>
  <c r="P119" i="1"/>
  <c r="P158" i="1"/>
  <c r="P69" i="1"/>
  <c r="P77" i="1"/>
  <c r="P244" i="1"/>
  <c r="V228" i="1"/>
  <c r="V178" i="1"/>
  <c r="V216" i="1"/>
  <c r="P226" i="1"/>
  <c r="P82" i="1"/>
  <c r="P161" i="1"/>
  <c r="P203" i="1"/>
  <c r="P147" i="1"/>
  <c r="P162" i="1"/>
  <c r="P133" i="1"/>
  <c r="P164" i="1"/>
  <c r="P92" i="1"/>
  <c r="P136" i="1"/>
  <c r="P232" i="1"/>
  <c r="P192" i="1"/>
  <c r="P241" i="1"/>
  <c r="P123" i="1"/>
  <c r="P106" i="1"/>
  <c r="P208" i="1"/>
  <c r="P88" i="1"/>
  <c r="P120" i="1"/>
  <c r="P124" i="1"/>
  <c r="P135" i="1"/>
  <c r="P115" i="1"/>
  <c r="P146" i="1"/>
  <c r="P74" i="1"/>
  <c r="P72" i="1"/>
  <c r="P174" i="1"/>
  <c r="P202" i="1"/>
  <c r="P70" i="1"/>
  <c r="P105" i="1"/>
  <c r="P100" i="1"/>
  <c r="P132" i="1"/>
  <c r="P109" i="1"/>
  <c r="P140" i="1"/>
  <c r="P81" i="1"/>
  <c r="P223" i="1"/>
  <c r="P225" i="1"/>
  <c r="V249" i="1"/>
  <c r="V184" i="1"/>
  <c r="V246" i="1"/>
  <c r="V81" i="1"/>
  <c r="V230" i="1"/>
  <c r="V98" i="1"/>
  <c r="V227" i="1"/>
  <c r="V140" i="1"/>
  <c r="V158" i="1"/>
  <c r="V128" i="1"/>
  <c r="V129" i="1"/>
  <c r="V134" i="1"/>
  <c r="V74" i="1"/>
  <c r="V208" i="1"/>
  <c r="V146" i="1"/>
  <c r="V233" i="1"/>
  <c r="V93" i="1"/>
  <c r="V152" i="1"/>
  <c r="V104" i="1"/>
  <c r="V124" i="1"/>
  <c r="V205" i="1"/>
  <c r="V106" i="1"/>
  <c r="V122" i="1"/>
  <c r="V119" i="1"/>
  <c r="V87" i="1"/>
  <c r="V224" i="1"/>
  <c r="V107" i="1"/>
  <c r="V190" i="1"/>
  <c r="V138" i="1"/>
  <c r="V189" i="1"/>
  <c r="V149" i="1"/>
  <c r="V202" i="1"/>
  <c r="V220" i="1"/>
  <c r="V243" i="1"/>
  <c r="V73" i="1"/>
  <c r="R246" i="1"/>
  <c r="V79" i="1"/>
  <c r="S237" i="1"/>
  <c r="R109" i="1"/>
  <c r="S101" i="1"/>
  <c r="S164" i="1"/>
  <c r="S180" i="1"/>
  <c r="V153" i="1"/>
  <c r="V85" i="1"/>
  <c r="V155" i="1"/>
  <c r="V165" i="1"/>
  <c r="V163" i="1"/>
  <c r="V195" i="1"/>
  <c r="V194" i="1"/>
  <c r="V143" i="1"/>
  <c r="V169" i="1"/>
  <c r="V242" i="1"/>
  <c r="V182" i="1"/>
  <c r="V137" i="1"/>
  <c r="V207" i="1"/>
  <c r="S158" i="1"/>
  <c r="V214" i="1"/>
  <c r="V236" i="1"/>
  <c r="V96" i="1"/>
  <c r="V131" i="1"/>
  <c r="V108" i="1"/>
  <c r="S220" i="1"/>
  <c r="S149" i="1"/>
  <c r="S126" i="1"/>
  <c r="S223" i="1"/>
  <c r="S217" i="1"/>
  <c r="S211" i="1"/>
  <c r="S165" i="1"/>
  <c r="R124" i="1"/>
  <c r="S98" i="1"/>
  <c r="S186" i="1"/>
  <c r="R165" i="1"/>
  <c r="S160" i="1"/>
  <c r="S81" i="1"/>
  <c r="R135" i="1"/>
  <c r="S148" i="1"/>
  <c r="R82" i="1"/>
  <c r="S136" i="1"/>
  <c r="S170" i="1"/>
  <c r="S156" i="1"/>
  <c r="S233" i="1"/>
  <c r="S86" i="1"/>
  <c r="S135" i="1"/>
  <c r="S222" i="1"/>
  <c r="S127" i="1"/>
  <c r="S93" i="1"/>
  <c r="S171" i="1"/>
  <c r="S107" i="1"/>
  <c r="S89" i="1"/>
  <c r="S104" i="1"/>
  <c r="S226" i="1"/>
  <c r="S133" i="1"/>
  <c r="S157" i="1"/>
  <c r="S137" i="1"/>
  <c r="S146" i="1"/>
  <c r="S152" i="1"/>
  <c r="S216" i="1"/>
  <c r="S103" i="1"/>
  <c r="S239" i="1"/>
  <c r="R240" i="1"/>
  <c r="R232" i="1"/>
  <c r="S210" i="1"/>
  <c r="S138" i="1"/>
  <c r="S198" i="1"/>
  <c r="S205" i="1"/>
  <c r="S90" i="1"/>
  <c r="S130" i="1"/>
  <c r="S83" i="1"/>
  <c r="S124" i="1"/>
  <c r="S129" i="1"/>
  <c r="S78" i="1"/>
  <c r="S168" i="1"/>
  <c r="S175" i="1"/>
  <c r="S118" i="1"/>
  <c r="S192" i="1"/>
  <c r="S248" i="1"/>
  <c r="S181" i="1"/>
  <c r="S121" i="1"/>
  <c r="R183" i="1"/>
  <c r="S140" i="1"/>
  <c r="S191" i="1"/>
  <c r="S145" i="1"/>
  <c r="S163" i="1"/>
  <c r="S112" i="1"/>
  <c r="S230" i="1"/>
  <c r="S244" i="1"/>
  <c r="S199" i="1"/>
  <c r="S219" i="1"/>
  <c r="S100" i="1"/>
  <c r="S110" i="1"/>
  <c r="S188" i="1"/>
  <c r="S92" i="1"/>
  <c r="S150" i="1"/>
  <c r="S200" i="1"/>
  <c r="S119" i="1"/>
  <c r="S117" i="1"/>
  <c r="S209" i="1"/>
  <c r="S172" i="1"/>
  <c r="S178" i="1"/>
  <c r="S159" i="1"/>
  <c r="S122" i="1"/>
  <c r="S218" i="1"/>
  <c r="S84" i="1"/>
  <c r="V180" i="1"/>
  <c r="V244" i="1"/>
  <c r="V151" i="1"/>
  <c r="V210" i="1"/>
  <c r="S185" i="1"/>
  <c r="S236" i="1"/>
  <c r="S207" i="1"/>
  <c r="S131" i="1"/>
  <c r="S204" i="1"/>
  <c r="S147" i="1"/>
  <c r="S128" i="1"/>
  <c r="S114" i="1"/>
  <c r="S77" i="1"/>
  <c r="S106" i="1"/>
  <c r="S161" i="1"/>
  <c r="V226" i="1"/>
  <c r="V116" i="1"/>
  <c r="V212" i="1"/>
  <c r="V188" i="1"/>
  <c r="V118" i="1"/>
  <c r="V77" i="1"/>
  <c r="V245" i="1"/>
  <c r="V127" i="1"/>
  <c r="S182" i="1"/>
  <c r="S80" i="1"/>
  <c r="S212" i="1"/>
  <c r="V103" i="1"/>
  <c r="S196" i="1"/>
  <c r="S95" i="1"/>
  <c r="S151" i="1"/>
  <c r="S247" i="1"/>
  <c r="S72" i="1"/>
  <c r="S71" i="1"/>
  <c r="S75" i="1"/>
  <c r="S94" i="1"/>
  <c r="S179" i="1"/>
  <c r="S245" i="1"/>
  <c r="V229" i="1"/>
  <c r="V199" i="1"/>
  <c r="V200" i="1"/>
  <c r="V170" i="1"/>
  <c r="V88" i="1"/>
  <c r="V84" i="1"/>
  <c r="V209" i="1"/>
  <c r="S203" i="1"/>
  <c r="V250" i="1"/>
  <c r="S194" i="1"/>
  <c r="S141" i="1"/>
  <c r="S174" i="1"/>
  <c r="S193" i="1"/>
  <c r="S69" i="1"/>
  <c r="S88" i="1"/>
  <c r="V175" i="1"/>
  <c r="V111" i="1"/>
  <c r="V157" i="1"/>
  <c r="V82" i="1"/>
  <c r="V78" i="1"/>
  <c r="V225" i="1"/>
  <c r="S214" i="1"/>
  <c r="V110" i="1"/>
  <c r="S235" i="1"/>
  <c r="S102" i="1"/>
  <c r="V251" i="1"/>
  <c r="S99" i="1"/>
  <c r="S132" i="1"/>
  <c r="V114" i="1"/>
  <c r="S249" i="1"/>
  <c r="S184" i="1"/>
  <c r="S109" i="1"/>
  <c r="S229" i="1"/>
  <c r="S169" i="1"/>
  <c r="S187" i="1"/>
  <c r="S166" i="1"/>
  <c r="S76" i="1"/>
  <c r="S190" i="1"/>
  <c r="V172" i="1"/>
  <c r="V168" i="1"/>
  <c r="V102" i="1"/>
  <c r="V117" i="1"/>
  <c r="V76" i="1"/>
  <c r="S227" i="1"/>
  <c r="V186" i="1"/>
  <c r="V156" i="1"/>
  <c r="V238" i="1"/>
  <c r="R224" i="1"/>
  <c r="R192" i="1"/>
  <c r="R214" i="1"/>
  <c r="R138" i="1"/>
  <c r="R129" i="1"/>
  <c r="S208" i="1"/>
  <c r="R93" i="1"/>
  <c r="S115" i="1"/>
  <c r="S228" i="1"/>
  <c r="R107" i="1"/>
  <c r="R119" i="1"/>
  <c r="R190" i="1"/>
  <c r="R95" i="1"/>
  <c r="R101" i="1"/>
  <c r="R162" i="1"/>
  <c r="R169" i="1"/>
  <c r="R242" i="1"/>
  <c r="R176" i="1"/>
  <c r="R103" i="1"/>
  <c r="R251" i="1"/>
  <c r="R181" i="1"/>
  <c r="R92" i="1"/>
  <c r="V123" i="1"/>
  <c r="S201" i="1"/>
  <c r="V99" i="1"/>
  <c r="S176" i="1"/>
  <c r="V171" i="1"/>
  <c r="V219" i="1"/>
  <c r="S155" i="1"/>
  <c r="S139" i="1"/>
  <c r="S96" i="1"/>
  <c r="S143" i="1"/>
  <c r="S111" i="1"/>
  <c r="S153" i="1"/>
  <c r="S154" i="1"/>
  <c r="S82" i="1"/>
  <c r="S177" i="1"/>
  <c r="S232" i="1"/>
  <c r="S97" i="1"/>
  <c r="V196" i="1"/>
  <c r="V92" i="1"/>
  <c r="V192" i="1"/>
  <c r="V160" i="1"/>
  <c r="V112" i="1"/>
  <c r="V113" i="1"/>
  <c r="S144" i="1"/>
  <c r="S238" i="1"/>
  <c r="V159" i="1"/>
  <c r="V105" i="1"/>
  <c r="W230" i="1"/>
  <c r="S183" i="1"/>
  <c r="V121" i="1"/>
  <c r="S116" i="1"/>
  <c r="S105" i="1"/>
  <c r="S241" i="1"/>
  <c r="S113" i="1"/>
  <c r="S87" i="1"/>
  <c r="S125" i="1"/>
  <c r="S142" i="1"/>
  <c r="S70" i="1"/>
  <c r="S242" i="1"/>
  <c r="S108" i="1"/>
  <c r="S202" i="1"/>
  <c r="V248" i="1"/>
  <c r="V179" i="1"/>
  <c r="V120" i="1"/>
  <c r="V100" i="1"/>
  <c r="V83" i="1"/>
  <c r="S167" i="1"/>
  <c r="V177" i="1"/>
  <c r="R237" i="1"/>
  <c r="V150" i="1"/>
  <c r="V135" i="1"/>
  <c r="R118" i="1"/>
  <c r="R234" i="1"/>
  <c r="R127" i="1"/>
  <c r="R123" i="1"/>
  <c r="R72" i="1"/>
  <c r="R164" i="1"/>
  <c r="W211" i="1"/>
  <c r="R142" i="1"/>
  <c r="V247" i="1"/>
  <c r="V91" i="1"/>
  <c r="R125" i="1"/>
  <c r="R210" i="1"/>
  <c r="R106" i="1"/>
  <c r="R117" i="1"/>
  <c r="R167" i="1"/>
  <c r="V223" i="1"/>
  <c r="V145" i="1"/>
  <c r="V218" i="1"/>
  <c r="V166" i="1"/>
  <c r="V176" i="1"/>
  <c r="V69" i="1"/>
  <c r="V94" i="1"/>
  <c r="V125" i="1"/>
  <c r="V72" i="1"/>
  <c r="W137" i="1"/>
  <c r="R154" i="1"/>
  <c r="R168" i="1"/>
  <c r="R185" i="1"/>
  <c r="R94" i="1"/>
  <c r="R76" i="1"/>
  <c r="R250" i="1"/>
  <c r="V231" i="1"/>
  <c r="V187" i="1"/>
  <c r="V237" i="1"/>
  <c r="V201" i="1"/>
  <c r="R203" i="1"/>
  <c r="R83" i="1"/>
  <c r="R110" i="1"/>
  <c r="R70" i="1"/>
  <c r="V221" i="1"/>
  <c r="R100" i="1"/>
  <c r="V198" i="1"/>
  <c r="V183" i="1"/>
  <c r="V86" i="1"/>
  <c r="V185" i="1"/>
  <c r="V173" i="1"/>
  <c r="V80" i="1"/>
  <c r="V147" i="1"/>
  <c r="V142" i="1"/>
  <c r="V70" i="1"/>
  <c r="V101" i="1"/>
  <c r="W243" i="1"/>
  <c r="R199" i="1"/>
  <c r="W109" i="1"/>
  <c r="R209" i="1"/>
  <c r="R140" i="1"/>
  <c r="W143" i="1"/>
  <c r="V191" i="1"/>
  <c r="R197" i="1"/>
  <c r="R200" i="1"/>
  <c r="R238" i="1"/>
  <c r="V217" i="1"/>
  <c r="V164" i="1"/>
  <c r="V162" i="1"/>
  <c r="V133" i="1"/>
  <c r="V144" i="1"/>
  <c r="V136" i="1"/>
  <c r="V167" i="1"/>
  <c r="V95" i="1"/>
  <c r="V90" i="1"/>
  <c r="V232" i="1"/>
  <c r="W100" i="1"/>
  <c r="V241" i="1"/>
  <c r="V215" i="1"/>
  <c r="V222" i="1"/>
  <c r="R208" i="1"/>
  <c r="R233" i="1"/>
  <c r="V240" i="1"/>
  <c r="V203" i="1"/>
  <c r="R178" i="1"/>
  <c r="R104" i="1"/>
  <c r="V174" i="1"/>
  <c r="V193" i="1"/>
  <c r="V234" i="1"/>
  <c r="V154" i="1"/>
  <c r="R157" i="1"/>
  <c r="R143" i="1"/>
  <c r="R98" i="1"/>
  <c r="V181" i="1"/>
  <c r="R229" i="1"/>
  <c r="R202" i="1"/>
  <c r="R115" i="1"/>
  <c r="V239" i="1"/>
  <c r="V211" i="1"/>
  <c r="V115" i="1"/>
  <c r="V132" i="1"/>
  <c r="V109" i="1"/>
  <c r="V141" i="1"/>
  <c r="V130" i="1"/>
  <c r="V161" i="1"/>
  <c r="V89" i="1"/>
  <c r="V97" i="1"/>
  <c r="V235" i="1"/>
  <c r="W77" i="1"/>
  <c r="V204" i="1"/>
  <c r="W82" i="1"/>
  <c r="W79" i="1"/>
  <c r="W235" i="1"/>
  <c r="W216" i="1"/>
  <c r="W139" i="1"/>
  <c r="W245" i="1"/>
  <c r="P251" i="1"/>
  <c r="P234" i="1"/>
  <c r="W174" i="1"/>
  <c r="W91" i="1"/>
  <c r="P186" i="1"/>
  <c r="P138" i="1"/>
  <c r="P237" i="1"/>
  <c r="W247" i="1"/>
  <c r="W150" i="1"/>
  <c r="P211" i="1"/>
  <c r="P188" i="1"/>
  <c r="P231" i="1"/>
  <c r="P204" i="1"/>
  <c r="P156" i="1"/>
  <c r="W217" i="1"/>
  <c r="W78" i="1"/>
  <c r="P144" i="1"/>
  <c r="P213" i="1"/>
  <c r="P150" i="1"/>
  <c r="P112" i="1"/>
  <c r="P206" i="1"/>
  <c r="P247" i="1"/>
  <c r="W73" i="1"/>
  <c r="P189" i="1"/>
  <c r="W185" i="1"/>
  <c r="S243" i="1"/>
  <c r="S195" i="1"/>
  <c r="S74" i="1"/>
  <c r="S213" i="1"/>
  <c r="S189" i="1"/>
  <c r="S91" i="1"/>
  <c r="S197" i="1"/>
  <c r="S224" i="1"/>
  <c r="S240" i="1"/>
  <c r="S234" i="1"/>
  <c r="S251" i="1"/>
  <c r="S173" i="1"/>
  <c r="S162" i="1"/>
  <c r="S246" i="1"/>
  <c r="P210" i="1"/>
  <c r="S231" i="1"/>
  <c r="S73" i="1"/>
  <c r="P217" i="1"/>
  <c r="S134" i="1"/>
  <c r="S120" i="1"/>
  <c r="S221" i="1"/>
  <c r="R196" i="1"/>
  <c r="R236" i="1"/>
  <c r="R120" i="1"/>
  <c r="R228" i="1"/>
  <c r="R78" i="1"/>
  <c r="R186" i="1"/>
  <c r="R114" i="1"/>
  <c r="R86" i="1"/>
  <c r="R111" i="1"/>
  <c r="R89" i="1"/>
  <c r="R158" i="1"/>
  <c r="R211" i="1"/>
  <c r="W110" i="1"/>
  <c r="W98" i="1"/>
  <c r="W96" i="1"/>
  <c r="R241" i="1"/>
  <c r="R212" i="1"/>
  <c r="R243" i="1"/>
  <c r="R194" i="1"/>
  <c r="R222" i="1"/>
  <c r="R191" i="1"/>
  <c r="R180" i="1"/>
  <c r="R90" i="1"/>
  <c r="R80" i="1"/>
  <c r="R105" i="1"/>
  <c r="R161" i="1"/>
  <c r="R213" i="1"/>
  <c r="W116" i="1"/>
  <c r="W240" i="1"/>
  <c r="W249" i="1"/>
  <c r="W84" i="1"/>
  <c r="R195" i="1"/>
  <c r="R221" i="1"/>
  <c r="R152" i="1"/>
  <c r="R239" i="1"/>
  <c r="R184" i="1"/>
  <c r="R216" i="1"/>
  <c r="R188" i="1"/>
  <c r="R174" i="1"/>
  <c r="R71" i="1"/>
  <c r="R74" i="1"/>
  <c r="R99" i="1"/>
  <c r="R248" i="1"/>
  <c r="R91" i="1"/>
  <c r="R163" i="1"/>
  <c r="R187" i="1"/>
  <c r="R175" i="1"/>
  <c r="R204" i="1"/>
  <c r="R170" i="1"/>
  <c r="R166" i="1"/>
  <c r="R134" i="1"/>
  <c r="R159" i="1"/>
  <c r="R87" i="1"/>
  <c r="R225" i="1"/>
  <c r="W186" i="1"/>
  <c r="W191" i="1"/>
  <c r="W147" i="1"/>
  <c r="R102" i="1"/>
  <c r="R193" i="1"/>
  <c r="R189" i="1"/>
  <c r="R108" i="1"/>
  <c r="R172" i="1"/>
  <c r="R198" i="1"/>
  <c r="R149" i="1"/>
  <c r="R156" i="1"/>
  <c r="R128" i="1"/>
  <c r="R153" i="1"/>
  <c r="R81" i="1"/>
  <c r="R133" i="1"/>
  <c r="R245" i="1"/>
  <c r="R218" i="1"/>
  <c r="R144" i="1"/>
  <c r="W222" i="1"/>
  <c r="W93" i="1"/>
  <c r="S225" i="1"/>
  <c r="S206" i="1"/>
  <c r="R217" i="1"/>
  <c r="S79" i="1"/>
  <c r="R231" i="1"/>
  <c r="R226" i="1"/>
  <c r="R160" i="1"/>
  <c r="R151" i="1"/>
  <c r="R146" i="1"/>
  <c r="R75" i="1"/>
  <c r="R177" i="1"/>
  <c r="R220" i="1"/>
  <c r="R73" i="1"/>
  <c r="R112" i="1"/>
  <c r="R113" i="1"/>
  <c r="R230" i="1"/>
  <c r="R88" i="1"/>
  <c r="R205" i="1"/>
  <c r="R79" i="1"/>
  <c r="R155" i="1"/>
  <c r="R126" i="1"/>
  <c r="R122" i="1"/>
  <c r="R147" i="1"/>
  <c r="R136" i="1"/>
  <c r="R121" i="1"/>
  <c r="R249" i="1"/>
  <c r="R207" i="1"/>
  <c r="R215" i="1"/>
  <c r="R137" i="1"/>
  <c r="R139" i="1"/>
  <c r="R96" i="1"/>
  <c r="R130" i="1"/>
  <c r="R116" i="1"/>
  <c r="R141" i="1"/>
  <c r="R69" i="1"/>
  <c r="R179" i="1"/>
  <c r="R97" i="1"/>
  <c r="R223" i="1"/>
  <c r="R235" i="1"/>
  <c r="W242" i="1"/>
  <c r="W131" i="1"/>
  <c r="W167" i="1"/>
  <c r="R201" i="1"/>
  <c r="R131" i="1"/>
  <c r="R247" i="1"/>
  <c r="U213" i="1"/>
  <c r="W209" i="1"/>
  <c r="W140" i="1"/>
  <c r="W227" i="1"/>
  <c r="W215" i="1"/>
  <c r="W212" i="1"/>
  <c r="W237" i="1"/>
  <c r="W69" i="1"/>
  <c r="W71" i="1"/>
  <c r="W175" i="1"/>
  <c r="W221" i="1"/>
  <c r="W187" i="1"/>
  <c r="W199" i="1"/>
  <c r="W206" i="1"/>
  <c r="W219" i="1"/>
  <c r="W128" i="1"/>
  <c r="W168" i="1"/>
  <c r="W97" i="1"/>
  <c r="W153" i="1"/>
  <c r="W194" i="1"/>
  <c r="W92" i="1"/>
  <c r="W197" i="1"/>
  <c r="W200" i="1"/>
  <c r="W130" i="1"/>
  <c r="W104" i="1"/>
  <c r="W162" i="1"/>
  <c r="W123" i="1"/>
  <c r="W159" i="1"/>
  <c r="W86" i="1"/>
  <c r="W181" i="1"/>
  <c r="W251" i="1"/>
  <c r="W165" i="1"/>
  <c r="W173" i="1"/>
  <c r="W121" i="1"/>
  <c r="W189" i="1"/>
  <c r="W156" i="1"/>
  <c r="R77" i="1"/>
  <c r="R206" i="1"/>
  <c r="W127" i="1"/>
  <c r="W226" i="1"/>
  <c r="W169" i="1"/>
  <c r="W244" i="1"/>
  <c r="W118" i="1"/>
  <c r="W113" i="1"/>
  <c r="W85" i="1"/>
  <c r="W164" i="1"/>
  <c r="W132" i="1"/>
  <c r="W161" i="1"/>
  <c r="W155" i="1"/>
  <c r="W234" i="1"/>
  <c r="W103" i="1"/>
  <c r="W182" i="1"/>
  <c r="W176" i="1"/>
  <c r="W154" i="1"/>
  <c r="W108" i="1"/>
  <c r="R132" i="1"/>
  <c r="R173" i="1"/>
  <c r="R219" i="1"/>
  <c r="W152" i="1"/>
  <c r="W122" i="1"/>
  <c r="W193" i="1"/>
  <c r="W76" i="1"/>
  <c r="W134" i="1"/>
  <c r="W170" i="1"/>
  <c r="W151" i="1"/>
  <c r="W102" i="1"/>
  <c r="W220" i="1"/>
  <c r="R145" i="1"/>
  <c r="R150" i="1"/>
  <c r="R171" i="1"/>
  <c r="R227" i="1"/>
  <c r="R244" i="1"/>
  <c r="R84" i="1"/>
  <c r="R182" i="1"/>
  <c r="W228" i="1"/>
  <c r="W89" i="1"/>
  <c r="W250" i="1"/>
  <c r="W142" i="1"/>
  <c r="W188" i="1"/>
  <c r="W80" i="1"/>
  <c r="W101" i="1"/>
  <c r="W136" i="1"/>
  <c r="W90" i="1"/>
  <c r="W190" i="1"/>
  <c r="S123" i="1"/>
  <c r="Q83" i="1"/>
  <c r="P148" i="1"/>
  <c r="Q117" i="1"/>
  <c r="Q119" i="1"/>
  <c r="Q200" i="1"/>
  <c r="Q167" i="1"/>
  <c r="W204" i="1"/>
  <c r="W239" i="1"/>
  <c r="W214" i="1"/>
  <c r="W146" i="1"/>
  <c r="W163" i="1"/>
  <c r="W180" i="1"/>
  <c r="W145" i="1"/>
  <c r="W149" i="1"/>
  <c r="W111" i="1"/>
  <c r="W231" i="1"/>
  <c r="W160" i="1"/>
  <c r="W75" i="1"/>
  <c r="W115" i="1"/>
  <c r="W144" i="1"/>
  <c r="W72" i="1"/>
  <c r="P83" i="1"/>
  <c r="P145" i="1"/>
  <c r="Q89" i="1"/>
  <c r="W105" i="1"/>
  <c r="W229" i="1"/>
  <c r="W198" i="1"/>
  <c r="W129" i="1"/>
  <c r="W99" i="1"/>
  <c r="W178" i="1"/>
  <c r="W135" i="1"/>
  <c r="W124" i="1"/>
  <c r="W192" i="1"/>
  <c r="W225" i="1"/>
  <c r="W157" i="1"/>
  <c r="W195" i="1"/>
  <c r="W112" i="1"/>
  <c r="W138" i="1"/>
  <c r="P171" i="1"/>
  <c r="Q212" i="1"/>
  <c r="Q235" i="1"/>
  <c r="Q245" i="1"/>
  <c r="W184" i="1"/>
  <c r="W119" i="1"/>
  <c r="W223" i="1"/>
  <c r="W246" i="1"/>
  <c r="W107" i="1"/>
  <c r="W210" i="1"/>
  <c r="W106" i="1"/>
  <c r="W87" i="1"/>
  <c r="W94" i="1"/>
  <c r="W179" i="1"/>
  <c r="W213" i="1"/>
  <c r="W141" i="1"/>
  <c r="W183" i="1"/>
  <c r="W88" i="1"/>
  <c r="W126" i="1"/>
  <c r="W241" i="1"/>
  <c r="W238" i="1"/>
  <c r="W196" i="1"/>
  <c r="W236" i="1"/>
  <c r="W205" i="1"/>
  <c r="W208" i="1"/>
  <c r="W95" i="1"/>
  <c r="W70" i="1"/>
  <c r="W224" i="1"/>
  <c r="W166" i="1"/>
  <c r="W207" i="1"/>
  <c r="W125" i="1"/>
  <c r="W177" i="1"/>
  <c r="W83" i="1"/>
  <c r="W120" i="1"/>
  <c r="P142" i="1"/>
  <c r="P94" i="1"/>
  <c r="P201" i="1"/>
  <c r="Q226" i="1"/>
  <c r="Q88" i="1"/>
  <c r="W232" i="1"/>
  <c r="W248" i="1"/>
  <c r="W172" i="1"/>
  <c r="W233" i="1"/>
  <c r="W203" i="1"/>
  <c r="W148" i="1"/>
  <c r="W74" i="1"/>
  <c r="W133" i="1"/>
  <c r="W218" i="1"/>
  <c r="W158" i="1"/>
  <c r="W201" i="1"/>
  <c r="W117" i="1"/>
  <c r="W171" i="1"/>
  <c r="W81" i="1"/>
  <c r="P151" i="1"/>
  <c r="P199" i="1"/>
  <c r="Q90" i="1"/>
  <c r="Q148" i="1"/>
  <c r="Q106" i="1"/>
  <c r="Q234" i="1"/>
  <c r="Q228" i="1"/>
  <c r="Q73" i="1"/>
  <c r="Q105" i="1"/>
  <c r="Q188" i="1"/>
  <c r="L13" i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BG13" i="1" s="1"/>
  <c r="BH13" i="1" s="1"/>
  <c r="BI13" i="1" s="1"/>
  <c r="BJ13" i="1" s="1"/>
  <c r="BK13" i="1" s="1"/>
  <c r="BL13" i="1" s="1"/>
  <c r="BM13" i="1" s="1"/>
  <c r="BN13" i="1" s="1"/>
  <c r="BO13" i="1" s="1"/>
  <c r="BP13" i="1" s="1"/>
  <c r="BQ13" i="1" s="1"/>
  <c r="BR13" i="1" s="1"/>
  <c r="BS13" i="1" s="1"/>
  <c r="BT13" i="1" s="1"/>
  <c r="BU13" i="1" s="1"/>
  <c r="BV13" i="1" s="1"/>
  <c r="BW13" i="1" s="1"/>
  <c r="BX13" i="1" s="1"/>
  <c r="BY13" i="1" s="1"/>
  <c r="BZ13" i="1" s="1"/>
  <c r="CA13" i="1" s="1"/>
  <c r="CB13" i="1" s="1"/>
  <c r="CC13" i="1" s="1"/>
  <c r="CD13" i="1" s="1"/>
  <c r="CE13" i="1" s="1"/>
  <c r="CF13" i="1" s="1"/>
  <c r="CG13" i="1" s="1"/>
  <c r="CH13" i="1" s="1"/>
  <c r="CI13" i="1" s="1"/>
  <c r="CJ13" i="1" s="1"/>
  <c r="CK13" i="1" s="1"/>
  <c r="CL13" i="1" s="1"/>
  <c r="CM13" i="1" s="1"/>
  <c r="CN13" i="1" s="1"/>
  <c r="CO13" i="1" s="1"/>
  <c r="CP13" i="1" s="1"/>
  <c r="CQ13" i="1" s="1"/>
  <c r="CR13" i="1" s="1"/>
  <c r="CS13" i="1" s="1"/>
  <c r="CT13" i="1" s="1"/>
  <c r="CU13" i="1" s="1"/>
  <c r="CV13" i="1" s="1"/>
  <c r="CW13" i="1" s="1"/>
  <c r="CX13" i="1" s="1"/>
  <c r="CY13" i="1" s="1"/>
  <c r="CZ13" i="1" s="1"/>
  <c r="DA13" i="1" s="1"/>
  <c r="DB13" i="1" s="1"/>
  <c r="DC13" i="1" s="1"/>
  <c r="DD13" i="1" s="1"/>
  <c r="DE13" i="1" s="1"/>
  <c r="DF13" i="1" s="1"/>
  <c r="DG13" i="1" s="1"/>
  <c r="K14" i="1"/>
  <c r="Q112" i="1"/>
  <c r="Q70" i="1"/>
  <c r="Q184" i="1"/>
  <c r="Q216" i="1"/>
  <c r="Q186" i="1"/>
  <c r="Q74" i="1"/>
  <c r="U167" i="1"/>
  <c r="U95" i="1"/>
  <c r="U190" i="1"/>
  <c r="U184" i="1"/>
  <c r="Q195" i="1"/>
  <c r="U204" i="1"/>
  <c r="Q219" i="1"/>
  <c r="Q193" i="1"/>
  <c r="U231" i="1"/>
  <c r="Q185" i="1"/>
  <c r="Q222" i="1"/>
  <c r="Q178" i="1"/>
  <c r="Q162" i="1"/>
  <c r="Q196" i="1"/>
  <c r="Q91" i="1"/>
  <c r="Q221" i="1"/>
  <c r="Q210" i="1"/>
  <c r="Q152" i="1"/>
  <c r="Q180" i="1"/>
  <c r="Q165" i="1"/>
  <c r="Q93" i="1"/>
  <c r="U99" i="1"/>
  <c r="U199" i="1"/>
  <c r="U115" i="1"/>
  <c r="U132" i="1"/>
  <c r="U133" i="1"/>
  <c r="U144" i="1"/>
  <c r="U161" i="1"/>
  <c r="U89" i="1"/>
  <c r="Q134" i="1"/>
  <c r="U192" i="1"/>
  <c r="U193" i="1"/>
  <c r="U220" i="1"/>
  <c r="Q104" i="1"/>
  <c r="Q194" i="1"/>
  <c r="Q224" i="1"/>
  <c r="Q158" i="1"/>
  <c r="Q239" i="1"/>
  <c r="Q181" i="1"/>
  <c r="Q190" i="1"/>
  <c r="Q215" i="1"/>
  <c r="Q175" i="1"/>
  <c r="Q204" i="1"/>
  <c r="Q149" i="1"/>
  <c r="Q174" i="1"/>
  <c r="Q159" i="1"/>
  <c r="Q87" i="1"/>
  <c r="Q229" i="1"/>
  <c r="U216" i="1"/>
  <c r="U136" i="1"/>
  <c r="Q248" i="1"/>
  <c r="U191" i="1"/>
  <c r="U168" i="1"/>
  <c r="U248" i="1"/>
  <c r="U111" i="1"/>
  <c r="U109" i="1"/>
  <c r="U141" i="1"/>
  <c r="U155" i="1"/>
  <c r="U83" i="1"/>
  <c r="Q231" i="1"/>
  <c r="Q201" i="1"/>
  <c r="U74" i="1"/>
  <c r="U78" i="1"/>
  <c r="P219" i="1"/>
  <c r="P243" i="1"/>
  <c r="U244" i="1"/>
  <c r="P178" i="1"/>
  <c r="Q233" i="1"/>
  <c r="P212" i="1"/>
  <c r="O69" i="1"/>
  <c r="S85" i="1"/>
  <c r="Q110" i="1"/>
  <c r="Q183" i="1"/>
  <c r="Q86" i="1"/>
  <c r="Q238" i="1"/>
  <c r="Q227" i="1"/>
  <c r="Q121" i="1"/>
  <c r="Q80" i="1"/>
  <c r="Q208" i="1"/>
  <c r="Q249" i="1"/>
  <c r="U103" i="1"/>
  <c r="U154" i="1"/>
  <c r="U201" i="1"/>
  <c r="Q187" i="1"/>
  <c r="Q209" i="1"/>
  <c r="Q172" i="1"/>
  <c r="Q198" i="1"/>
  <c r="Q140" i="1"/>
  <c r="Q169" i="1"/>
  <c r="Q153" i="1"/>
  <c r="Q81" i="1"/>
  <c r="U121" i="1"/>
  <c r="U169" i="1"/>
  <c r="Q232" i="1"/>
  <c r="U81" i="1"/>
  <c r="Q218" i="1"/>
  <c r="U249" i="1"/>
  <c r="U100" i="1"/>
  <c r="U207" i="1"/>
  <c r="U181" i="1"/>
  <c r="U145" i="1"/>
  <c r="U242" i="1"/>
  <c r="U102" i="1"/>
  <c r="U85" i="1"/>
  <c r="U120" i="1"/>
  <c r="U149" i="1"/>
  <c r="U77" i="1"/>
  <c r="Q150" i="1"/>
  <c r="U232" i="1"/>
  <c r="U159" i="1"/>
  <c r="U186" i="1"/>
  <c r="Q113" i="1"/>
  <c r="U228" i="1"/>
  <c r="Q171" i="1"/>
  <c r="U127" i="1"/>
  <c r="P230" i="1"/>
  <c r="O125" i="1"/>
  <c r="T248" i="1"/>
  <c r="S215" i="1"/>
  <c r="P102" i="1"/>
  <c r="Q206" i="1"/>
  <c r="W202" i="1"/>
  <c r="Q78" i="1"/>
  <c r="Q225" i="1"/>
  <c r="Q138" i="1"/>
  <c r="Q236" i="1"/>
  <c r="Q173" i="1"/>
  <c r="Q99" i="1"/>
  <c r="Q128" i="1"/>
  <c r="Q154" i="1"/>
  <c r="U84" i="1"/>
  <c r="U250" i="1"/>
  <c r="U110" i="1"/>
  <c r="Q160" i="1"/>
  <c r="U203" i="1"/>
  <c r="Q177" i="1"/>
  <c r="Q203" i="1"/>
  <c r="Q155" i="1"/>
  <c r="Q151" i="1"/>
  <c r="Q132" i="1"/>
  <c r="Q166" i="1"/>
  <c r="Q147" i="1"/>
  <c r="Q75" i="1"/>
  <c r="U233" i="1"/>
  <c r="Q220" i="1"/>
  <c r="Q72" i="1"/>
  <c r="Q144" i="1"/>
  <c r="U196" i="1"/>
  <c r="U209" i="1"/>
  <c r="U178" i="1"/>
  <c r="U128" i="1"/>
  <c r="U236" i="1"/>
  <c r="U175" i="1"/>
  <c r="U73" i="1"/>
  <c r="U117" i="1"/>
  <c r="U143" i="1"/>
  <c r="U71" i="1"/>
  <c r="Q77" i="1"/>
  <c r="U158" i="1"/>
  <c r="U235" i="1"/>
  <c r="U215" i="1"/>
  <c r="U222" i="1"/>
  <c r="Q230" i="1"/>
  <c r="U197" i="1"/>
  <c r="Q189" i="1"/>
  <c r="U225" i="1"/>
  <c r="U87" i="1"/>
  <c r="P168" i="1"/>
  <c r="Q98" i="1"/>
  <c r="X245" i="1"/>
  <c r="P224" i="1"/>
  <c r="R85" i="1"/>
  <c r="Q214" i="1"/>
  <c r="Q111" i="1"/>
  <c r="Q192" i="1"/>
  <c r="Q115" i="1"/>
  <c r="Q82" i="1"/>
  <c r="Q114" i="1"/>
  <c r="Q205" i="1"/>
  <c r="Q161" i="1"/>
  <c r="Q197" i="1"/>
  <c r="Q137" i="1"/>
  <c r="Q139" i="1"/>
  <c r="Q116" i="1"/>
  <c r="Q156" i="1"/>
  <c r="Q141" i="1"/>
  <c r="Q69" i="1"/>
  <c r="U174" i="1"/>
  <c r="Q96" i="1"/>
  <c r="U152" i="1"/>
  <c r="Q211" i="1"/>
  <c r="U135" i="1"/>
  <c r="U124" i="1"/>
  <c r="U230" i="1"/>
  <c r="U166" i="1"/>
  <c r="U194" i="1"/>
  <c r="U96" i="1"/>
  <c r="U137" i="1"/>
  <c r="U97" i="1"/>
  <c r="P113" i="1"/>
  <c r="U241" i="1"/>
  <c r="Q237" i="1"/>
  <c r="Q79" i="1"/>
  <c r="V213" i="1"/>
  <c r="Q182" i="1"/>
  <c r="V126" i="1"/>
  <c r="Q84" i="1"/>
  <c r="Q202" i="1"/>
  <c r="Q199" i="1"/>
  <c r="Q133" i="1"/>
  <c r="Q124" i="1"/>
  <c r="Q135" i="1"/>
  <c r="Q101" i="1"/>
  <c r="Q241" i="1"/>
  <c r="Q131" i="1"/>
  <c r="Q145" i="1"/>
  <c r="Q243" i="1"/>
  <c r="Q217" i="1"/>
  <c r="X159" i="1"/>
  <c r="T86" i="1"/>
  <c r="Q95" i="1"/>
  <c r="Q251" i="1"/>
  <c r="Q191" i="1"/>
  <c r="Q207" i="1"/>
  <c r="Q157" i="1"/>
  <c r="Q108" i="1"/>
  <c r="Q76" i="1"/>
  <c r="Q118" i="1"/>
  <c r="Q122" i="1"/>
  <c r="Q246" i="1"/>
  <c r="Q92" i="1"/>
  <c r="Q130" i="1"/>
  <c r="Q129" i="1"/>
  <c r="Q136" i="1"/>
  <c r="Q179" i="1"/>
  <c r="Q170" i="1"/>
  <c r="Q244" i="1"/>
  <c r="Q142" i="1"/>
  <c r="Q102" i="1"/>
  <c r="Q250" i="1"/>
  <c r="L51" i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AG51" i="1" s="1"/>
  <c r="AH51" i="1" s="1"/>
  <c r="AI51" i="1" s="1"/>
  <c r="AJ51" i="1" s="1"/>
  <c r="AK51" i="1" s="1"/>
  <c r="AL51" i="1" s="1"/>
  <c r="AM51" i="1" s="1"/>
  <c r="AN51" i="1" s="1"/>
  <c r="L52" i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G52" i="1" s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T52" i="1" s="1"/>
  <c r="AU52" i="1" s="1"/>
  <c r="AV52" i="1" s="1"/>
  <c r="AW52" i="1" s="1"/>
  <c r="AX52" i="1" s="1"/>
  <c r="AY52" i="1" s="1"/>
  <c r="AZ52" i="1" s="1"/>
  <c r="BA52" i="1" s="1"/>
  <c r="BB52" i="1" s="1"/>
  <c r="BC52" i="1" s="1"/>
  <c r="BD52" i="1" s="1"/>
  <c r="BE52" i="1" s="1"/>
  <c r="BF52" i="1" s="1"/>
  <c r="BG52" i="1" s="1"/>
  <c r="BH52" i="1" s="1"/>
  <c r="BI52" i="1" s="1"/>
  <c r="BJ52" i="1" s="1"/>
  <c r="BK52" i="1" s="1"/>
  <c r="BL52" i="1" s="1"/>
  <c r="BM52" i="1" s="1"/>
  <c r="BN52" i="1" s="1"/>
  <c r="BO52" i="1" s="1"/>
  <c r="BP52" i="1" s="1"/>
  <c r="BQ52" i="1" s="1"/>
  <c r="BR52" i="1" s="1"/>
  <c r="BS52" i="1" s="1"/>
  <c r="BT52" i="1" s="1"/>
  <c r="BU52" i="1" s="1"/>
  <c r="BV52" i="1" s="1"/>
  <c r="BW52" i="1" s="1"/>
  <c r="BX52" i="1" s="1"/>
  <c r="BY52" i="1" s="1"/>
  <c r="BZ52" i="1" s="1"/>
  <c r="CA52" i="1" s="1"/>
  <c r="CB52" i="1" s="1"/>
  <c r="CC52" i="1" s="1"/>
  <c r="CD52" i="1" s="1"/>
  <c r="CE52" i="1" s="1"/>
  <c r="CF52" i="1" s="1"/>
  <c r="CG52" i="1" s="1"/>
  <c r="CH52" i="1" s="1"/>
  <c r="CI52" i="1" s="1"/>
  <c r="CJ52" i="1" s="1"/>
  <c r="CK52" i="1" s="1"/>
  <c r="CL52" i="1" s="1"/>
  <c r="CM52" i="1" s="1"/>
  <c r="CN52" i="1" s="1"/>
  <c r="CO52" i="1" s="1"/>
  <c r="CP52" i="1" s="1"/>
  <c r="CQ52" i="1" s="1"/>
  <c r="CR52" i="1" s="1"/>
  <c r="CS52" i="1" s="1"/>
  <c r="CT52" i="1" s="1"/>
  <c r="CU52" i="1" s="1"/>
  <c r="CV52" i="1" s="1"/>
  <c r="CW52" i="1" s="1"/>
  <c r="CX52" i="1" s="1"/>
  <c r="CY52" i="1" s="1"/>
  <c r="CZ52" i="1" s="1"/>
  <c r="DA52" i="1" s="1"/>
  <c r="DB52" i="1" s="1"/>
  <c r="DC52" i="1" s="1"/>
  <c r="DD52" i="1" s="1"/>
  <c r="DE52" i="1" s="1"/>
  <c r="DF52" i="1" s="1"/>
  <c r="DG52" i="1" s="1"/>
  <c r="F6" i="1"/>
  <c r="Q103" i="1"/>
  <c r="Q163" i="1"/>
  <c r="Q107" i="1"/>
  <c r="Q146" i="1"/>
  <c r="Q100" i="1"/>
  <c r="Q223" i="1"/>
  <c r="Q213" i="1"/>
  <c r="Q109" i="1"/>
  <c r="Q242" i="1"/>
  <c r="Q126" i="1"/>
  <c r="Q176" i="1"/>
  <c r="Q125" i="1"/>
  <c r="Q97" i="1"/>
  <c r="Q120" i="1"/>
  <c r="Q240" i="1"/>
  <c r="Q94" i="1"/>
  <c r="Q143" i="1"/>
  <c r="Q127" i="1"/>
  <c r="Q123" i="1"/>
  <c r="Q85" i="1"/>
  <c r="Q164" i="1"/>
  <c r="U90" i="1"/>
  <c r="U75" i="1"/>
  <c r="U212" i="1"/>
  <c r="U150" i="1"/>
  <c r="U176" i="1"/>
  <c r="U69" i="1"/>
  <c r="U119" i="1"/>
  <c r="U177" i="1"/>
  <c r="U245" i="1"/>
  <c r="U247" i="1"/>
  <c r="Q247" i="1"/>
  <c r="Q168" i="1"/>
  <c r="U238" i="1"/>
  <c r="U116" i="1"/>
  <c r="U180" i="1"/>
  <c r="K55" i="1"/>
  <c r="L54" i="1"/>
  <c r="M54" i="1" s="1"/>
  <c r="N54" i="1" s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Z54" i="1" s="1"/>
  <c r="AA54" i="1" s="1"/>
  <c r="AB54" i="1" s="1"/>
  <c r="AC54" i="1" s="1"/>
  <c r="AD54" i="1" s="1"/>
  <c r="AE54" i="1" s="1"/>
  <c r="AF54" i="1" s="1"/>
  <c r="AG54" i="1" s="1"/>
  <c r="AH54" i="1" s="1"/>
  <c r="AI54" i="1" s="1"/>
  <c r="AJ54" i="1" s="1"/>
  <c r="AK54" i="1" s="1"/>
  <c r="AL54" i="1" s="1"/>
  <c r="AM54" i="1" s="1"/>
  <c r="AN54" i="1" s="1"/>
  <c r="AO54" i="1" s="1"/>
  <c r="AP54" i="1" s="1"/>
  <c r="AQ54" i="1" s="1"/>
  <c r="AR54" i="1" s="1"/>
  <c r="AS54" i="1" s="1"/>
  <c r="AT54" i="1" s="1"/>
  <c r="AU54" i="1" s="1"/>
  <c r="AV54" i="1" s="1"/>
  <c r="AW54" i="1" s="1"/>
  <c r="AX54" i="1" s="1"/>
  <c r="AY54" i="1" s="1"/>
  <c r="AZ54" i="1" s="1"/>
  <c r="BA54" i="1" s="1"/>
  <c r="BB54" i="1" s="1"/>
  <c r="BC54" i="1" s="1"/>
  <c r="BD54" i="1" s="1"/>
  <c r="BE54" i="1" s="1"/>
  <c r="BF54" i="1" s="1"/>
  <c r="BG54" i="1" s="1"/>
  <c r="BH54" i="1" s="1"/>
  <c r="BI54" i="1" s="1"/>
  <c r="BJ54" i="1" s="1"/>
  <c r="BK54" i="1" s="1"/>
  <c r="BL54" i="1" s="1"/>
  <c r="BM54" i="1" s="1"/>
  <c r="BN54" i="1" s="1"/>
  <c r="BO54" i="1" s="1"/>
  <c r="BP54" i="1" s="1"/>
  <c r="BQ54" i="1" s="1"/>
  <c r="BR54" i="1" s="1"/>
  <c r="BS54" i="1" s="1"/>
  <c r="BT54" i="1" s="1"/>
  <c r="BU54" i="1" s="1"/>
  <c r="BV54" i="1" s="1"/>
  <c r="BW54" i="1" s="1"/>
  <c r="BX54" i="1" s="1"/>
  <c r="BY54" i="1" s="1"/>
  <c r="BZ54" i="1" s="1"/>
  <c r="CA54" i="1" s="1"/>
  <c r="CB54" i="1" s="1"/>
  <c r="CC54" i="1" s="1"/>
  <c r="CD54" i="1" s="1"/>
  <c r="CE54" i="1" s="1"/>
  <c r="CF54" i="1" s="1"/>
  <c r="CG54" i="1" s="1"/>
  <c r="CH54" i="1" s="1"/>
  <c r="CI54" i="1" s="1"/>
  <c r="CJ54" i="1" s="1"/>
  <c r="CK54" i="1" s="1"/>
  <c r="CL54" i="1" s="1"/>
  <c r="CM54" i="1" s="1"/>
  <c r="CN54" i="1" s="1"/>
  <c r="CO54" i="1" s="1"/>
  <c r="CP54" i="1" s="1"/>
  <c r="CQ54" i="1" s="1"/>
  <c r="CR54" i="1" s="1"/>
  <c r="CS54" i="1" s="1"/>
  <c r="CT54" i="1" s="1"/>
  <c r="CU54" i="1" s="1"/>
  <c r="CV54" i="1" s="1"/>
  <c r="CW54" i="1" s="1"/>
  <c r="CX54" i="1" s="1"/>
  <c r="CY54" i="1" s="1"/>
  <c r="CZ54" i="1" s="1"/>
  <c r="DA54" i="1" s="1"/>
  <c r="DB54" i="1" s="1"/>
  <c r="DC54" i="1" s="1"/>
  <c r="DD54" i="1" s="1"/>
  <c r="DE54" i="1" s="1"/>
  <c r="DF54" i="1" s="1"/>
  <c r="DG54" i="1" s="1"/>
  <c r="S37" i="1"/>
  <c r="AE37" i="1"/>
  <c r="AQ37" i="1"/>
  <c r="BC37" i="1"/>
  <c r="BO37" i="1"/>
  <c r="CA37" i="1"/>
  <c r="CM37" i="1"/>
  <c r="CY37" i="1"/>
  <c r="P38" i="1"/>
  <c r="AB38" i="1"/>
  <c r="AN38" i="1"/>
  <c r="AZ38" i="1"/>
  <c r="BL38" i="1"/>
  <c r="BX38" i="1"/>
  <c r="CJ38" i="1"/>
  <c r="CV38" i="1"/>
  <c r="M39" i="1"/>
  <c r="Y39" i="1"/>
  <c r="AK39" i="1"/>
  <c r="AW39" i="1"/>
  <c r="BI39" i="1"/>
  <c r="BU39" i="1"/>
  <c r="CG39" i="1"/>
  <c r="CS39" i="1"/>
  <c r="DE39" i="1"/>
  <c r="V40" i="1"/>
  <c r="AH40" i="1"/>
  <c r="AT40" i="1"/>
  <c r="BF40" i="1"/>
  <c r="BR40" i="1"/>
  <c r="CD40" i="1"/>
  <c r="CP40" i="1"/>
  <c r="DB40" i="1"/>
  <c r="S41" i="1"/>
  <c r="AE41" i="1"/>
  <c r="AQ41" i="1"/>
  <c r="BC41" i="1"/>
  <c r="BO41" i="1"/>
  <c r="CA41" i="1"/>
  <c r="CM41" i="1"/>
  <c r="CY41" i="1"/>
  <c r="P42" i="1"/>
  <c r="AB42" i="1"/>
  <c r="AN42" i="1"/>
  <c r="AZ42" i="1"/>
  <c r="BL42" i="1"/>
  <c r="BX42" i="1"/>
  <c r="CJ42" i="1"/>
  <c r="CV42" i="1"/>
  <c r="M43" i="1"/>
  <c r="Y43" i="1"/>
  <c r="AK43" i="1"/>
  <c r="AW43" i="1"/>
  <c r="BI43" i="1"/>
  <c r="BU43" i="1"/>
  <c r="CG43" i="1"/>
  <c r="CS43" i="1"/>
  <c r="DE43" i="1"/>
  <c r="V44" i="1"/>
  <c r="AH44" i="1"/>
  <c r="AT44" i="1"/>
  <c r="BF44" i="1"/>
  <c r="BR44" i="1"/>
  <c r="CD44" i="1"/>
  <c r="CP44" i="1"/>
  <c r="DB44" i="1"/>
  <c r="S45" i="1"/>
  <c r="AE45" i="1"/>
  <c r="AQ45" i="1"/>
  <c r="BC45" i="1"/>
  <c r="BO45" i="1"/>
  <c r="CA45" i="1"/>
  <c r="CM45" i="1"/>
  <c r="CY45" i="1"/>
  <c r="P46" i="1"/>
  <c r="AB46" i="1"/>
  <c r="AN46" i="1"/>
  <c r="AZ46" i="1"/>
  <c r="BL46" i="1"/>
  <c r="BX46" i="1"/>
  <c r="CJ46" i="1"/>
  <c r="CV46" i="1"/>
  <c r="L38" i="1"/>
  <c r="T37" i="1"/>
  <c r="AF37" i="1"/>
  <c r="AR37" i="1"/>
  <c r="BD37" i="1"/>
  <c r="BP37" i="1"/>
  <c r="CB37" i="1"/>
  <c r="CN37" i="1"/>
  <c r="CZ37" i="1"/>
  <c r="Q38" i="1"/>
  <c r="AC38" i="1"/>
  <c r="AO38" i="1"/>
  <c r="BA38" i="1"/>
  <c r="BM38" i="1"/>
  <c r="BY38" i="1"/>
  <c r="CK38" i="1"/>
  <c r="CW38" i="1"/>
  <c r="N39" i="1"/>
  <c r="Z39" i="1"/>
  <c r="AL39" i="1"/>
  <c r="AX39" i="1"/>
  <c r="BJ39" i="1"/>
  <c r="BV39" i="1"/>
  <c r="CH39" i="1"/>
  <c r="CT39" i="1"/>
  <c r="DF39" i="1"/>
  <c r="W40" i="1"/>
  <c r="AI40" i="1"/>
  <c r="AU40" i="1"/>
  <c r="BG40" i="1"/>
  <c r="BS40" i="1"/>
  <c r="CE40" i="1"/>
  <c r="CQ40" i="1"/>
  <c r="DC40" i="1"/>
  <c r="T41" i="1"/>
  <c r="AF41" i="1"/>
  <c r="AR41" i="1"/>
  <c r="BD41" i="1"/>
  <c r="BP41" i="1"/>
  <c r="CB41" i="1"/>
  <c r="CN41" i="1"/>
  <c r="CZ41" i="1"/>
  <c r="Q42" i="1"/>
  <c r="AC42" i="1"/>
  <c r="AO42" i="1"/>
  <c r="BA42" i="1"/>
  <c r="BM42" i="1"/>
  <c r="BY42" i="1"/>
  <c r="CK42" i="1"/>
  <c r="CW42" i="1"/>
  <c r="N43" i="1"/>
  <c r="Z43" i="1"/>
  <c r="AL43" i="1"/>
  <c r="AX43" i="1"/>
  <c r="BJ43" i="1"/>
  <c r="BV43" i="1"/>
  <c r="CH43" i="1"/>
  <c r="CT43" i="1"/>
  <c r="DF43" i="1"/>
  <c r="W44" i="1"/>
  <c r="AI44" i="1"/>
  <c r="AU44" i="1"/>
  <c r="BG44" i="1"/>
  <c r="BS44" i="1"/>
  <c r="CE44" i="1"/>
  <c r="CQ44" i="1"/>
  <c r="DC44" i="1"/>
  <c r="T45" i="1"/>
  <c r="AF45" i="1"/>
  <c r="AR45" i="1"/>
  <c r="BD45" i="1"/>
  <c r="BP45" i="1"/>
  <c r="CB45" i="1"/>
  <c r="CN45" i="1"/>
  <c r="CZ45" i="1"/>
  <c r="Q46" i="1"/>
  <c r="AC46" i="1"/>
  <c r="AO46" i="1"/>
  <c r="BA46" i="1"/>
  <c r="BM46" i="1"/>
  <c r="BY46" i="1"/>
  <c r="CK46" i="1"/>
  <c r="CW46" i="1"/>
  <c r="L39" i="1"/>
  <c r="U37" i="1"/>
  <c r="AG37" i="1"/>
  <c r="AS37" i="1"/>
  <c r="BE37" i="1"/>
  <c r="BQ37" i="1"/>
  <c r="CC37" i="1"/>
  <c r="CO37" i="1"/>
  <c r="DA37" i="1"/>
  <c r="R38" i="1"/>
  <c r="AD38" i="1"/>
  <c r="AP38" i="1"/>
  <c r="BB38" i="1"/>
  <c r="BN38" i="1"/>
  <c r="BZ38" i="1"/>
  <c r="CL38" i="1"/>
  <c r="CX38" i="1"/>
  <c r="O39" i="1"/>
  <c r="AA39" i="1"/>
  <c r="AM39" i="1"/>
  <c r="AY39" i="1"/>
  <c r="BK39" i="1"/>
  <c r="BW39" i="1"/>
  <c r="CI39" i="1"/>
  <c r="CU39" i="1"/>
  <c r="DG39" i="1"/>
  <c r="X40" i="1"/>
  <c r="AJ40" i="1"/>
  <c r="AV40" i="1"/>
  <c r="BH40" i="1"/>
  <c r="BT40" i="1"/>
  <c r="CF40" i="1"/>
  <c r="CR40" i="1"/>
  <c r="DD40" i="1"/>
  <c r="U41" i="1"/>
  <c r="AG41" i="1"/>
  <c r="AS41" i="1"/>
  <c r="BE41" i="1"/>
  <c r="BQ41" i="1"/>
  <c r="CC41" i="1"/>
  <c r="CO41" i="1"/>
  <c r="DA41" i="1"/>
  <c r="R42" i="1"/>
  <c r="AD42" i="1"/>
  <c r="AP42" i="1"/>
  <c r="BB42" i="1"/>
  <c r="BN42" i="1"/>
  <c r="BZ42" i="1"/>
  <c r="CL42" i="1"/>
  <c r="CX42" i="1"/>
  <c r="O43" i="1"/>
  <c r="AA43" i="1"/>
  <c r="AM43" i="1"/>
  <c r="AY43" i="1"/>
  <c r="BK43" i="1"/>
  <c r="BW43" i="1"/>
  <c r="CI43" i="1"/>
  <c r="CU43" i="1"/>
  <c r="DG43" i="1"/>
  <c r="X44" i="1"/>
  <c r="AJ44" i="1"/>
  <c r="AV44" i="1"/>
  <c r="BH44" i="1"/>
  <c r="BT44" i="1"/>
  <c r="CF44" i="1"/>
  <c r="CR44" i="1"/>
  <c r="DD44" i="1"/>
  <c r="U45" i="1"/>
  <c r="AG45" i="1"/>
  <c r="AS45" i="1"/>
  <c r="BE45" i="1"/>
  <c r="BQ45" i="1"/>
  <c r="CC45" i="1"/>
  <c r="CO45" i="1"/>
  <c r="DA45" i="1"/>
  <c r="R46" i="1"/>
  <c r="AD46" i="1"/>
  <c r="AP46" i="1"/>
  <c r="BB46" i="1"/>
  <c r="BN46" i="1"/>
  <c r="BZ46" i="1"/>
  <c r="CL46" i="1"/>
  <c r="CX46" i="1"/>
  <c r="L40" i="1"/>
  <c r="W37" i="1"/>
  <c r="AI37" i="1"/>
  <c r="AU37" i="1"/>
  <c r="BG37" i="1"/>
  <c r="BS37" i="1"/>
  <c r="CE37" i="1"/>
  <c r="CQ37" i="1"/>
  <c r="DC37" i="1"/>
  <c r="T38" i="1"/>
  <c r="AF38" i="1"/>
  <c r="AR38" i="1"/>
  <c r="BD38" i="1"/>
  <c r="BP38" i="1"/>
  <c r="CB38" i="1"/>
  <c r="CN38" i="1"/>
  <c r="M37" i="1"/>
  <c r="AC37" i="1"/>
  <c r="AW37" i="1"/>
  <c r="BM37" i="1"/>
  <c r="CG37" i="1"/>
  <c r="CW37" i="1"/>
  <c r="V38" i="1"/>
  <c r="AL38" i="1"/>
  <c r="BF38" i="1"/>
  <c r="BV38" i="1"/>
  <c r="CP38" i="1"/>
  <c r="DE38" i="1"/>
  <c r="AB39" i="1"/>
  <c r="AQ39" i="1"/>
  <c r="BF39" i="1"/>
  <c r="BX39" i="1"/>
  <c r="CM39" i="1"/>
  <c r="DB39" i="1"/>
  <c r="Y40" i="1"/>
  <c r="AN40" i="1"/>
  <c r="BC40" i="1"/>
  <c r="BU40" i="1"/>
  <c r="CJ40" i="1"/>
  <c r="CY40" i="1"/>
  <c r="V41" i="1"/>
  <c r="AK41" i="1"/>
  <c r="AZ41" i="1"/>
  <c r="BR41" i="1"/>
  <c r="CG41" i="1"/>
  <c r="CV41" i="1"/>
  <c r="S42" i="1"/>
  <c r="AH42" i="1"/>
  <c r="AW42" i="1"/>
  <c r="BO42" i="1"/>
  <c r="CD42" i="1"/>
  <c r="CS42" i="1"/>
  <c r="P43" i="1"/>
  <c r="AE43" i="1"/>
  <c r="AT43" i="1"/>
  <c r="BL43" i="1"/>
  <c r="CA43" i="1"/>
  <c r="CP43" i="1"/>
  <c r="M44" i="1"/>
  <c r="AB44" i="1"/>
  <c r="AQ44" i="1"/>
  <c r="BI44" i="1"/>
  <c r="BX44" i="1"/>
  <c r="CM44" i="1"/>
  <c r="DE44" i="1"/>
  <c r="Y45" i="1"/>
  <c r="AN45" i="1"/>
  <c r="BF45" i="1"/>
  <c r="BU45" i="1"/>
  <c r="CJ45" i="1"/>
  <c r="DB45" i="1"/>
  <c r="V46" i="1"/>
  <c r="AK46" i="1"/>
  <c r="BC46" i="1"/>
  <c r="BR46" i="1"/>
  <c r="CG46" i="1"/>
  <c r="CY46" i="1"/>
  <c r="L44" i="1"/>
  <c r="N37" i="1"/>
  <c r="AD37" i="1"/>
  <c r="AX37" i="1"/>
  <c r="BN37" i="1"/>
  <c r="CH37" i="1"/>
  <c r="CX37" i="1"/>
  <c r="W38" i="1"/>
  <c r="AM38" i="1"/>
  <c r="BG38" i="1"/>
  <c r="BW38" i="1"/>
  <c r="CQ38" i="1"/>
  <c r="DF38" i="1"/>
  <c r="AC39" i="1"/>
  <c r="AR39" i="1"/>
  <c r="BG39" i="1"/>
  <c r="BY39" i="1"/>
  <c r="CN39" i="1"/>
  <c r="DC39" i="1"/>
  <c r="Z40" i="1"/>
  <c r="AO40" i="1"/>
  <c r="BD40" i="1"/>
  <c r="BV40" i="1"/>
  <c r="CK40" i="1"/>
  <c r="CZ40" i="1"/>
  <c r="W41" i="1"/>
  <c r="AL41" i="1"/>
  <c r="BA41" i="1"/>
  <c r="BS41" i="1"/>
  <c r="CH41" i="1"/>
  <c r="CW41" i="1"/>
  <c r="T42" i="1"/>
  <c r="AI42" i="1"/>
  <c r="AX42" i="1"/>
  <c r="BP42" i="1"/>
  <c r="CE42" i="1"/>
  <c r="CT42" i="1"/>
  <c r="Q43" i="1"/>
  <c r="AF43" i="1"/>
  <c r="AU43" i="1"/>
  <c r="BM43" i="1"/>
  <c r="CB43" i="1"/>
  <c r="CQ43" i="1"/>
  <c r="N44" i="1"/>
  <c r="AC44" i="1"/>
  <c r="AR44" i="1"/>
  <c r="BJ44" i="1"/>
  <c r="BY44" i="1"/>
  <c r="CN44" i="1"/>
  <c r="DF44" i="1"/>
  <c r="O37" i="1"/>
  <c r="AH37" i="1"/>
  <c r="AY37" i="1"/>
  <c r="BR37" i="1"/>
  <c r="CI37" i="1"/>
  <c r="DB37" i="1"/>
  <c r="X38" i="1"/>
  <c r="AQ38" i="1"/>
  <c r="BH38" i="1"/>
  <c r="CA38" i="1"/>
  <c r="CR38" i="1"/>
  <c r="DG38" i="1"/>
  <c r="AD39" i="1"/>
  <c r="AS39" i="1"/>
  <c r="BH39" i="1"/>
  <c r="BZ39" i="1"/>
  <c r="CO39" i="1"/>
  <c r="DD39" i="1"/>
  <c r="AA40" i="1"/>
  <c r="AP40" i="1"/>
  <c r="BE40" i="1"/>
  <c r="BW40" i="1"/>
  <c r="CL40" i="1"/>
  <c r="DA40" i="1"/>
  <c r="X41" i="1"/>
  <c r="AM41" i="1"/>
  <c r="BB41" i="1"/>
  <c r="BT41" i="1"/>
  <c r="CI41" i="1"/>
  <c r="CX41" i="1"/>
  <c r="U42" i="1"/>
  <c r="AJ42" i="1"/>
  <c r="AY42" i="1"/>
  <c r="BQ42" i="1"/>
  <c r="CF42" i="1"/>
  <c r="CU42" i="1"/>
  <c r="R43" i="1"/>
  <c r="AG43" i="1"/>
  <c r="AV43" i="1"/>
  <c r="BN43" i="1"/>
  <c r="CC43" i="1"/>
  <c r="CR43" i="1"/>
  <c r="O44" i="1"/>
  <c r="AD44" i="1"/>
  <c r="AS44" i="1"/>
  <c r="BK44" i="1"/>
  <c r="BZ44" i="1"/>
  <c r="CO44" i="1"/>
  <c r="DG44" i="1"/>
  <c r="AA45" i="1"/>
  <c r="AP45" i="1"/>
  <c r="BH45" i="1"/>
  <c r="BW45" i="1"/>
  <c r="CL45" i="1"/>
  <c r="DD45" i="1"/>
  <c r="X46" i="1"/>
  <c r="AM46" i="1"/>
  <c r="BE46" i="1"/>
  <c r="P37" i="1"/>
  <c r="AJ37" i="1"/>
  <c r="AZ37" i="1"/>
  <c r="BT37" i="1"/>
  <c r="CJ37" i="1"/>
  <c r="DD37" i="1"/>
  <c r="Y38" i="1"/>
  <c r="AS38" i="1"/>
  <c r="BI38" i="1"/>
  <c r="CC38" i="1"/>
  <c r="CS38" i="1"/>
  <c r="P39" i="1"/>
  <c r="AE39" i="1"/>
  <c r="AT39" i="1"/>
  <c r="BL39" i="1"/>
  <c r="CA39" i="1"/>
  <c r="CP39" i="1"/>
  <c r="M40" i="1"/>
  <c r="AB40" i="1"/>
  <c r="AQ40" i="1"/>
  <c r="BI40" i="1"/>
  <c r="BX40" i="1"/>
  <c r="CM40" i="1"/>
  <c r="DE40" i="1"/>
  <c r="Y41" i="1"/>
  <c r="AN41" i="1"/>
  <c r="BF41" i="1"/>
  <c r="BU41" i="1"/>
  <c r="CJ41" i="1"/>
  <c r="DB41" i="1"/>
  <c r="X37" i="1"/>
  <c r="AV37" i="1"/>
  <c r="BX37" i="1"/>
  <c r="CV37" i="1"/>
  <c r="AG38" i="1"/>
  <c r="BE38" i="1"/>
  <c r="CG38" i="1"/>
  <c r="DD38" i="1"/>
  <c r="AI39" i="1"/>
  <c r="BE39" i="1"/>
  <c r="CE39" i="1"/>
  <c r="DA39" i="1"/>
  <c r="AF40" i="1"/>
  <c r="BB40" i="1"/>
  <c r="CB40" i="1"/>
  <c r="CX40" i="1"/>
  <c r="AC41" i="1"/>
  <c r="AY41" i="1"/>
  <c r="BY41" i="1"/>
  <c r="CU41" i="1"/>
  <c r="Y42" i="1"/>
  <c r="AT42" i="1"/>
  <c r="BR42" i="1"/>
  <c r="CM42" i="1"/>
  <c r="DE42" i="1"/>
  <c r="AH43" i="1"/>
  <c r="BC43" i="1"/>
  <c r="BX43" i="1"/>
  <c r="CV43" i="1"/>
  <c r="S44" i="1"/>
  <c r="AN44" i="1"/>
  <c r="BL44" i="1"/>
  <c r="CG44" i="1"/>
  <c r="CY44" i="1"/>
  <c r="Z45" i="1"/>
  <c r="AU45" i="1"/>
  <c r="BL45" i="1"/>
  <c r="CF45" i="1"/>
  <c r="CW45" i="1"/>
  <c r="W46" i="1"/>
  <c r="AR46" i="1"/>
  <c r="BI46" i="1"/>
  <c r="CB46" i="1"/>
  <c r="CR46" i="1"/>
  <c r="L41" i="1"/>
  <c r="AA37" i="1"/>
  <c r="BF37" i="1"/>
  <c r="CD37" i="1"/>
  <c r="DG37" i="1"/>
  <c r="AJ38" i="1"/>
  <c r="BO38" i="1"/>
  <c r="CM38" i="1"/>
  <c r="S39" i="1"/>
  <c r="AO39" i="1"/>
  <c r="BO39" i="1"/>
  <c r="CK39" i="1"/>
  <c r="P40" i="1"/>
  <c r="AL40" i="1"/>
  <c r="BL40" i="1"/>
  <c r="CH40" i="1"/>
  <c r="M41" i="1"/>
  <c r="AI41" i="1"/>
  <c r="BI41" i="1"/>
  <c r="CE41" i="1"/>
  <c r="DE41" i="1"/>
  <c r="AE42" i="1"/>
  <c r="BC42" i="1"/>
  <c r="BU42" i="1"/>
  <c r="CP42" i="1"/>
  <c r="S43" i="1"/>
  <c r="AN43" i="1"/>
  <c r="BF43" i="1"/>
  <c r="CD43" i="1"/>
  <c r="CY43" i="1"/>
  <c r="Y44" i="1"/>
  <c r="AW44" i="1"/>
  <c r="BO44" i="1"/>
  <c r="CJ44" i="1"/>
  <c r="M45" i="1"/>
  <c r="AD45" i="1"/>
  <c r="AX45" i="1"/>
  <c r="BR45" i="1"/>
  <c r="CI45" i="1"/>
  <c r="DE45" i="1"/>
  <c r="AA46" i="1"/>
  <c r="AU46" i="1"/>
  <c r="BO46" i="1"/>
  <c r="CE46" i="1"/>
  <c r="CU46" i="1"/>
  <c r="L45" i="1"/>
  <c r="AB37" i="1"/>
  <c r="BH37" i="1"/>
  <c r="CF37" i="1"/>
  <c r="M38" i="1"/>
  <c r="AK38" i="1"/>
  <c r="BQ38" i="1"/>
  <c r="CO38" i="1"/>
  <c r="T39" i="1"/>
  <c r="AP39" i="1"/>
  <c r="BP39" i="1"/>
  <c r="CL39" i="1"/>
  <c r="Q40" i="1"/>
  <c r="AM40" i="1"/>
  <c r="BM40" i="1"/>
  <c r="CI40" i="1"/>
  <c r="N41" i="1"/>
  <c r="AJ41" i="1"/>
  <c r="BJ41" i="1"/>
  <c r="CF41" i="1"/>
  <c r="DF41" i="1"/>
  <c r="AF42" i="1"/>
  <c r="BD42" i="1"/>
  <c r="BV42" i="1"/>
  <c r="CQ42" i="1"/>
  <c r="T43" i="1"/>
  <c r="AO43" i="1"/>
  <c r="BG43" i="1"/>
  <c r="CE43" i="1"/>
  <c r="CZ43" i="1"/>
  <c r="Z44" i="1"/>
  <c r="AX44" i="1"/>
  <c r="BP44" i="1"/>
  <c r="CK44" i="1"/>
  <c r="N45" i="1"/>
  <c r="AH45" i="1"/>
  <c r="AY45" i="1"/>
  <c r="BS45" i="1"/>
  <c r="CK45" i="1"/>
  <c r="DF45" i="1"/>
  <c r="AE46" i="1"/>
  <c r="AV46" i="1"/>
  <c r="AK37" i="1"/>
  <c r="BI37" i="1"/>
  <c r="CK37" i="1"/>
  <c r="N38" i="1"/>
  <c r="AT38" i="1"/>
  <c r="BR38" i="1"/>
  <c r="CT38" i="1"/>
  <c r="U39" i="1"/>
  <c r="AU39" i="1"/>
  <c r="BQ39" i="1"/>
  <c r="CQ39" i="1"/>
  <c r="R40" i="1"/>
  <c r="AR40" i="1"/>
  <c r="BN40" i="1"/>
  <c r="CN40" i="1"/>
  <c r="O41" i="1"/>
  <c r="AO41" i="1"/>
  <c r="BK41" i="1"/>
  <c r="CK41" i="1"/>
  <c r="DG41" i="1"/>
  <c r="AG42" i="1"/>
  <c r="BE42" i="1"/>
  <c r="BW42" i="1"/>
  <c r="CR42" i="1"/>
  <c r="U43" i="1"/>
  <c r="AP43" i="1"/>
  <c r="BH43" i="1"/>
  <c r="CF43" i="1"/>
  <c r="DA43" i="1"/>
  <c r="AA44" i="1"/>
  <c r="AY44" i="1"/>
  <c r="BQ44" i="1"/>
  <c r="CL44" i="1"/>
  <c r="O45" i="1"/>
  <c r="AI45" i="1"/>
  <c r="AZ45" i="1"/>
  <c r="BT45" i="1"/>
  <c r="CP45" i="1"/>
  <c r="DG45" i="1"/>
  <c r="AF46" i="1"/>
  <c r="AW46" i="1"/>
  <c r="BQ46" i="1"/>
  <c r="CH46" i="1"/>
  <c r="Q37" i="1"/>
  <c r="AO37" i="1"/>
  <c r="BU37" i="1"/>
  <c r="CS37" i="1"/>
  <c r="Z38" i="1"/>
  <c r="AX38" i="1"/>
  <c r="CD38" i="1"/>
  <c r="DA38" i="1"/>
  <c r="AF39" i="1"/>
  <c r="BB39" i="1"/>
  <c r="CB39" i="1"/>
  <c r="CX39" i="1"/>
  <c r="AC40" i="1"/>
  <c r="AY40" i="1"/>
  <c r="BY40" i="1"/>
  <c r="CU40" i="1"/>
  <c r="Z41" i="1"/>
  <c r="AV41" i="1"/>
  <c r="BV41" i="1"/>
  <c r="CR41" i="1"/>
  <c r="V42" i="1"/>
  <c r="AQ42" i="1"/>
  <c r="BI42" i="1"/>
  <c r="CG42" i="1"/>
  <c r="DB42" i="1"/>
  <c r="AB43" i="1"/>
  <c r="AZ43" i="1"/>
  <c r="BR43" i="1"/>
  <c r="CM43" i="1"/>
  <c r="P44" i="1"/>
  <c r="AM37" i="1"/>
  <c r="AP37" i="1"/>
  <c r="CP37" i="1"/>
  <c r="AI38" i="1"/>
  <c r="CF38" i="1"/>
  <c r="X39" i="1"/>
  <c r="BR39" i="1"/>
  <c r="N40" i="1"/>
  <c r="AZ40" i="1"/>
  <c r="CS40" i="1"/>
  <c r="AH41" i="1"/>
  <c r="BX41" i="1"/>
  <c r="O42" i="1"/>
  <c r="BF42" i="1"/>
  <c r="CN42" i="1"/>
  <c r="AC43" i="1"/>
  <c r="BP43" i="1"/>
  <c r="CX43" i="1"/>
  <c r="AL44" i="1"/>
  <c r="BU44" i="1"/>
  <c r="CW44" i="1"/>
  <c r="AJ45" i="1"/>
  <c r="BJ45" i="1"/>
  <c r="CQ45" i="1"/>
  <c r="T46" i="1"/>
  <c r="AX46" i="1"/>
  <c r="BV46" i="1"/>
  <c r="CS46" i="1"/>
  <c r="L46" i="1"/>
  <c r="AT37" i="1"/>
  <c r="CR37" i="1"/>
  <c r="AU38" i="1"/>
  <c r="CH38" i="1"/>
  <c r="AG39" i="1"/>
  <c r="BS39" i="1"/>
  <c r="O40" i="1"/>
  <c r="BA40" i="1"/>
  <c r="CT40" i="1"/>
  <c r="AP41" i="1"/>
  <c r="BZ41" i="1"/>
  <c r="W42" i="1"/>
  <c r="BG42" i="1"/>
  <c r="CO42" i="1"/>
  <c r="AD43" i="1"/>
  <c r="BQ43" i="1"/>
  <c r="DB43" i="1"/>
  <c r="AM44" i="1"/>
  <c r="BV44" i="1"/>
  <c r="CX44" i="1"/>
  <c r="AK45" i="1"/>
  <c r="BK45" i="1"/>
  <c r="CR45" i="1"/>
  <c r="U46" i="1"/>
  <c r="AY46" i="1"/>
  <c r="BW46" i="1"/>
  <c r="CT46" i="1"/>
  <c r="L37" i="1"/>
  <c r="BA37" i="1"/>
  <c r="CT37" i="1"/>
  <c r="AV38" i="1"/>
  <c r="CI38" i="1"/>
  <c r="AH39" i="1"/>
  <c r="BT39" i="1"/>
  <c r="S40" i="1"/>
  <c r="BJ40" i="1"/>
  <c r="CV40" i="1"/>
  <c r="AT41" i="1"/>
  <c r="CD41" i="1"/>
  <c r="X42" i="1"/>
  <c r="BH42" i="1"/>
  <c r="CY42" i="1"/>
  <c r="AI43" i="1"/>
  <c r="BS43" i="1"/>
  <c r="DC43" i="1"/>
  <c r="AO44" i="1"/>
  <c r="BW44" i="1"/>
  <c r="CZ44" i="1"/>
  <c r="AL45" i="1"/>
  <c r="BM45" i="1"/>
  <c r="CS45" i="1"/>
  <c r="Y46" i="1"/>
  <c r="BD46" i="1"/>
  <c r="CA46" i="1"/>
  <c r="CZ46" i="1"/>
  <c r="BB37" i="1"/>
  <c r="CU37" i="1"/>
  <c r="AW38" i="1"/>
  <c r="CU38" i="1"/>
  <c r="AJ39" i="1"/>
  <c r="CC39" i="1"/>
  <c r="T40" i="1"/>
  <c r="BK40" i="1"/>
  <c r="CW40" i="1"/>
  <c r="AU41" i="1"/>
  <c r="R37" i="1"/>
  <c r="BK37" i="1"/>
  <c r="DF37" i="1"/>
  <c r="BC38" i="1"/>
  <c r="CZ38" i="1"/>
  <c r="AV39" i="1"/>
  <c r="CF39" i="1"/>
  <c r="AD40" i="1"/>
  <c r="BP40" i="1"/>
  <c r="DG40" i="1"/>
  <c r="AX41" i="1"/>
  <c r="CQ41" i="1"/>
  <c r="AK42" i="1"/>
  <c r="BS42" i="1"/>
  <c r="DC42" i="1"/>
  <c r="AR43" i="1"/>
  <c r="BL37" i="1"/>
  <c r="AH38" i="1"/>
  <c r="R39" i="1"/>
  <c r="CR39" i="1"/>
  <c r="BO40" i="1"/>
  <c r="AB41" i="1"/>
  <c r="CT41" i="1"/>
  <c r="AV42" i="1"/>
  <c r="DF42" i="1"/>
  <c r="BO43" i="1"/>
  <c r="R44" i="1"/>
  <c r="BD44" i="1"/>
  <c r="CV44" i="1"/>
  <c r="AT45" i="1"/>
  <c r="CD45" i="1"/>
  <c r="S46" i="1"/>
  <c r="BH46" i="1"/>
  <c r="CN46" i="1"/>
  <c r="L43" i="1"/>
  <c r="BV37" i="1"/>
  <c r="AY38" i="1"/>
  <c r="V39" i="1"/>
  <c r="CV39" i="1"/>
  <c r="BQ40" i="1"/>
  <c r="AD41" i="1"/>
  <c r="DC41" i="1"/>
  <c r="BJ42" i="1"/>
  <c r="DG42" i="1"/>
  <c r="BT43" i="1"/>
  <c r="T44" i="1"/>
  <c r="BE44" i="1"/>
  <c r="DA44" i="1"/>
  <c r="AV45" i="1"/>
  <c r="CE45" i="1"/>
  <c r="Z46" i="1"/>
  <c r="BJ46" i="1"/>
  <c r="CO46" i="1"/>
  <c r="BY37" i="1"/>
  <c r="BK38" i="1"/>
  <c r="AN39" i="1"/>
  <c r="CY39" i="1"/>
  <c r="CA40" i="1"/>
  <c r="BG41" i="1"/>
  <c r="M42" i="1"/>
  <c r="BT42" i="1"/>
  <c r="W43" i="1"/>
  <c r="BZ43" i="1"/>
  <c r="AE44" i="1"/>
  <c r="BN44" i="1"/>
  <c r="Q45" i="1"/>
  <c r="BA45" i="1"/>
  <c r="CH45" i="1"/>
  <c r="AH46" i="1"/>
  <c r="BP46" i="1"/>
  <c r="CQ46" i="1"/>
  <c r="BZ37" i="1"/>
  <c r="BS38" i="1"/>
  <c r="AZ39" i="1"/>
  <c r="CZ39" i="1"/>
  <c r="CC40" i="1"/>
  <c r="BH41" i="1"/>
  <c r="N42" i="1"/>
  <c r="CA42" i="1"/>
  <c r="X43" i="1"/>
  <c r="CJ43" i="1"/>
  <c r="AF44" i="1"/>
  <c r="CA44" i="1"/>
  <c r="R45" i="1"/>
  <c r="BB45" i="1"/>
  <c r="CT45" i="1"/>
  <c r="AI46" i="1"/>
  <c r="BS46" i="1"/>
  <c r="DA46" i="1"/>
  <c r="CL37" i="1"/>
  <c r="BT38" i="1"/>
  <c r="BA39" i="1"/>
  <c r="U40" i="1"/>
  <c r="CG40" i="1"/>
  <c r="BL41" i="1"/>
  <c r="Z42" i="1"/>
  <c r="CB42" i="1"/>
  <c r="AJ43" i="1"/>
  <c r="CK43" i="1"/>
  <c r="AG44" i="1"/>
  <c r="CB44" i="1"/>
  <c r="V45" i="1"/>
  <c r="BG45" i="1"/>
  <c r="CU45" i="1"/>
  <c r="AJ46" i="1"/>
  <c r="BT46" i="1"/>
  <c r="DB46" i="1"/>
  <c r="Z37" i="1"/>
  <c r="S38" i="1"/>
  <c r="CY38" i="1"/>
  <c r="BM39" i="1"/>
  <c r="AK40" i="1"/>
  <c r="P41" i="1"/>
  <c r="BW41" i="1"/>
  <c r="AM42" i="1"/>
  <c r="CI42" i="1"/>
  <c r="BA43" i="1"/>
  <c r="CO43" i="1"/>
  <c r="AZ44" i="1"/>
  <c r="CI44" i="1"/>
  <c r="AB45" i="1"/>
  <c r="BV45" i="1"/>
  <c r="DC45" i="1"/>
  <c r="AS46" i="1"/>
  <c r="CD46" i="1"/>
  <c r="DE46" i="1"/>
  <c r="G6" i="1"/>
  <c r="AN37" i="1"/>
  <c r="AA38" i="1"/>
  <c r="DC38" i="1"/>
  <c r="CD39" i="1"/>
  <c r="AW40" i="1"/>
  <c r="R41" i="1"/>
  <c r="CP41" i="1"/>
  <c r="AS42" i="1"/>
  <c r="DA42" i="1"/>
  <c r="BD43" i="1"/>
  <c r="DD43" i="1"/>
  <c r="BB44" i="1"/>
  <c r="CT44" i="1"/>
  <c r="AM45" i="1"/>
  <c r="BY45" i="1"/>
  <c r="N46" i="1"/>
  <c r="BF46" i="1"/>
  <c r="CI46" i="1"/>
  <c r="DG46" i="1"/>
  <c r="U38" i="1"/>
  <c r="CW39" i="1"/>
  <c r="BN41" i="1"/>
  <c r="DD42" i="1"/>
  <c r="AK44" i="1"/>
  <c r="AC45" i="1"/>
  <c r="AG46" i="1"/>
  <c r="DD46" i="1"/>
  <c r="AA42" i="1"/>
  <c r="DB38" i="1"/>
  <c r="Y37" i="1"/>
  <c r="BZ45" i="1"/>
  <c r="BD39" i="1"/>
  <c r="BN39" i="1"/>
  <c r="CP46" i="1"/>
  <c r="AE38" i="1"/>
  <c r="AE40" i="1"/>
  <c r="CL41" i="1"/>
  <c r="V43" i="1"/>
  <c r="AP44" i="1"/>
  <c r="AO45" i="1"/>
  <c r="AL46" i="1"/>
  <c r="DF46" i="1"/>
  <c r="AX40" i="1"/>
  <c r="BZ40" i="1"/>
  <c r="BX45" i="1"/>
  <c r="Q39" i="1"/>
  <c r="BY43" i="1"/>
  <c r="BU46" i="1"/>
  <c r="AA41" i="1"/>
  <c r="AW41" i="1"/>
  <c r="M46" i="1"/>
  <c r="BJ38" i="1"/>
  <c r="AG40" i="1"/>
  <c r="CS41" i="1"/>
  <c r="AQ43" i="1"/>
  <c r="BA44" i="1"/>
  <c r="AW45" i="1"/>
  <c r="AQ46" i="1"/>
  <c r="L42" i="1"/>
  <c r="CE38" i="1"/>
  <c r="BB43" i="1"/>
  <c r="BM44" i="1"/>
  <c r="BN45" i="1"/>
  <c r="BG46" i="1"/>
  <c r="CO40" i="1"/>
  <c r="CH44" i="1"/>
  <c r="BW37" i="1"/>
  <c r="CM46" i="1"/>
  <c r="Q44" i="1"/>
  <c r="BU38" i="1"/>
  <c r="AS40" i="1"/>
  <c r="DD41" i="1"/>
  <c r="AS43" i="1"/>
  <c r="BC44" i="1"/>
  <c r="BI45" i="1"/>
  <c r="AT46" i="1"/>
  <c r="V37" i="1"/>
  <c r="AL42" i="1"/>
  <c r="BE43" i="1"/>
  <c r="CC44" i="1"/>
  <c r="BK46" i="1"/>
  <c r="AR42" i="1"/>
  <c r="CC42" i="1"/>
  <c r="CH42" i="1"/>
  <c r="AL37" i="1"/>
  <c r="W39" i="1"/>
  <c r="DF40" i="1"/>
  <c r="AU42" i="1"/>
  <c r="CL43" i="1"/>
  <c r="CS44" i="1"/>
  <c r="CG45" i="1"/>
  <c r="CC46" i="1"/>
  <c r="BJ37" i="1"/>
  <c r="BC39" i="1"/>
  <c r="Q41" i="1"/>
  <c r="BK42" i="1"/>
  <c r="CN43" i="1"/>
  <c r="CU44" i="1"/>
  <c r="CV45" i="1"/>
  <c r="CF46" i="1"/>
  <c r="CW43" i="1"/>
  <c r="P45" i="1"/>
  <c r="CX45" i="1"/>
  <c r="DE37" i="1"/>
  <c r="O46" i="1"/>
  <c r="BM41" i="1"/>
  <c r="X45" i="1"/>
  <c r="DC46" i="1"/>
  <c r="CJ39" i="1"/>
  <c r="U44" i="1"/>
  <c r="O38" i="1"/>
  <c r="CZ42" i="1"/>
  <c r="W45" i="1"/>
  <c r="K26" i="1"/>
  <c r="K98" i="1" l="1"/>
  <c r="N98" i="1" s="1"/>
  <c r="K251" i="1"/>
  <c r="N251" i="1" s="1"/>
  <c r="K256" i="1" s="1"/>
  <c r="K92" i="1"/>
  <c r="N92" i="1" s="1"/>
  <c r="K153" i="1"/>
  <c r="N153" i="1" s="1"/>
  <c r="K181" i="1"/>
  <c r="N181" i="1" s="1"/>
  <c r="K179" i="1"/>
  <c r="N179" i="1" s="1"/>
  <c r="K108" i="1"/>
  <c r="N108" i="1" s="1"/>
  <c r="K152" i="1"/>
  <c r="N152" i="1" s="1"/>
  <c r="K114" i="1"/>
  <c r="N114" i="1" s="1"/>
  <c r="K241" i="1"/>
  <c r="N241" i="1" s="1"/>
  <c r="K237" i="1"/>
  <c r="N237" i="1" s="1"/>
  <c r="K147" i="1"/>
  <c r="N147" i="1" s="1"/>
  <c r="K185" i="1"/>
  <c r="N185" i="1" s="1"/>
  <c r="K82" i="1"/>
  <c r="N82" i="1" s="1"/>
  <c r="K119" i="1"/>
  <c r="N119" i="1" s="1"/>
  <c r="K139" i="1"/>
  <c r="N139" i="1" s="1"/>
  <c r="K129" i="1"/>
  <c r="N129" i="1" s="1"/>
  <c r="K235" i="1"/>
  <c r="N235" i="1" s="1"/>
  <c r="K76" i="1"/>
  <c r="N76" i="1" s="1"/>
  <c r="K211" i="1"/>
  <c r="N211" i="1" s="1"/>
  <c r="K208" i="1"/>
  <c r="N208" i="1" s="1"/>
  <c r="K226" i="1"/>
  <c r="N226" i="1" s="1"/>
  <c r="K124" i="1"/>
  <c r="N124" i="1" s="1"/>
  <c r="K206" i="1"/>
  <c r="N206" i="1" s="1"/>
  <c r="K162" i="1"/>
  <c r="N162" i="1" s="1"/>
  <c r="K94" i="1"/>
  <c r="N94" i="1" s="1"/>
  <c r="K224" i="1"/>
  <c r="N224" i="1" s="1"/>
  <c r="K234" i="1"/>
  <c r="N234" i="1" s="1"/>
  <c r="K154" i="1"/>
  <c r="N154" i="1" s="1"/>
  <c r="K248" i="1"/>
  <c r="N248" i="1" s="1"/>
  <c r="K99" i="1"/>
  <c r="N99" i="1" s="1"/>
  <c r="K101" i="1"/>
  <c r="N101" i="1" s="1"/>
  <c r="K169" i="1"/>
  <c r="N169" i="1" s="1"/>
  <c r="K200" i="1"/>
  <c r="N200" i="1" s="1"/>
  <c r="K151" i="1"/>
  <c r="N151" i="1" s="1"/>
  <c r="K207" i="1"/>
  <c r="N207" i="1" s="1"/>
  <c r="K113" i="1"/>
  <c r="N113" i="1" s="1"/>
  <c r="K165" i="1"/>
  <c r="N165" i="1" s="1"/>
  <c r="K70" i="1"/>
  <c r="N70" i="1" s="1"/>
  <c r="K214" i="1"/>
  <c r="N214" i="1" s="1"/>
  <c r="K182" i="1"/>
  <c r="N182" i="1" s="1"/>
  <c r="K225" i="1"/>
  <c r="N225" i="1" s="1"/>
  <c r="K148" i="1"/>
  <c r="N148" i="1" s="1"/>
  <c r="K239" i="1"/>
  <c r="N239" i="1" s="1"/>
  <c r="K158" i="1"/>
  <c r="N158" i="1" s="1"/>
  <c r="K116" i="1"/>
  <c r="N116" i="1" s="1"/>
  <c r="K127" i="1"/>
  <c r="N127" i="1" s="1"/>
  <c r="K223" i="1"/>
  <c r="N223" i="1" s="1"/>
  <c r="K166" i="1"/>
  <c r="N166" i="1" s="1"/>
  <c r="K93" i="1"/>
  <c r="N93" i="1" s="1"/>
  <c r="K246" i="1"/>
  <c r="N246" i="1" s="1"/>
  <c r="K227" i="1"/>
  <c r="N227" i="1" s="1"/>
  <c r="K221" i="1"/>
  <c r="N221" i="1" s="1"/>
  <c r="K100" i="1"/>
  <c r="N100" i="1" s="1"/>
  <c r="K135" i="1"/>
  <c r="N135" i="1" s="1"/>
  <c r="K230" i="1"/>
  <c r="N230" i="1" s="1"/>
  <c r="K173" i="1"/>
  <c r="N173" i="1" s="1"/>
  <c r="K170" i="1"/>
  <c r="N170" i="1" s="1"/>
  <c r="K217" i="1"/>
  <c r="N217" i="1" s="1"/>
  <c r="K137" i="1"/>
  <c r="N137" i="1" s="1"/>
  <c r="K183" i="1"/>
  <c r="N183" i="1" s="1"/>
  <c r="K176" i="1"/>
  <c r="N176" i="1" s="1"/>
  <c r="K95" i="1"/>
  <c r="N95" i="1" s="1"/>
  <c r="K138" i="1"/>
  <c r="N138" i="1" s="1"/>
  <c r="K228" i="1"/>
  <c r="N228" i="1" s="1"/>
  <c r="K202" i="1"/>
  <c r="N202" i="1" s="1"/>
  <c r="K140" i="1"/>
  <c r="N140" i="1" s="1"/>
  <c r="K198" i="1"/>
  <c r="N198" i="1" s="1"/>
  <c r="K191" i="1"/>
  <c r="N191" i="1" s="1"/>
  <c r="K240" i="1"/>
  <c r="N240" i="1" s="1"/>
  <c r="K111" i="1"/>
  <c r="N111" i="1" s="1"/>
  <c r="K134" i="1"/>
  <c r="N134" i="1" s="1"/>
  <c r="K88" i="1"/>
  <c r="N88" i="1" s="1"/>
  <c r="K131" i="1"/>
  <c r="N131" i="1" s="1"/>
  <c r="K79" i="1"/>
  <c r="N79" i="1" s="1"/>
  <c r="K117" i="1"/>
  <c r="N117" i="1" s="1"/>
  <c r="K84" i="1"/>
  <c r="N84" i="1" s="1"/>
  <c r="K106" i="1"/>
  <c r="N106" i="1" s="1"/>
  <c r="K189" i="1"/>
  <c r="N189" i="1" s="1"/>
  <c r="K184" i="1"/>
  <c r="N184" i="1" s="1"/>
  <c r="K90" i="1"/>
  <c r="N90" i="1" s="1"/>
  <c r="K146" i="1"/>
  <c r="N146" i="1" s="1"/>
  <c r="K132" i="1"/>
  <c r="N132" i="1" s="1"/>
  <c r="K80" i="1"/>
  <c r="N80" i="1" s="1"/>
  <c r="K203" i="1"/>
  <c r="N203" i="1" s="1"/>
  <c r="K121" i="1"/>
  <c r="N121" i="1" s="1"/>
  <c r="K91" i="1"/>
  <c r="N91" i="1" s="1"/>
  <c r="K171" i="1"/>
  <c r="N171" i="1" s="1"/>
  <c r="K177" i="1"/>
  <c r="N177" i="1" s="1"/>
  <c r="K204" i="1"/>
  <c r="N204" i="1" s="1"/>
  <c r="K244" i="1"/>
  <c r="N244" i="1" s="1"/>
  <c r="K136" i="1"/>
  <c r="K163" i="1"/>
  <c r="K96" i="1"/>
  <c r="K130" i="1"/>
  <c r="N130" i="1" s="1"/>
  <c r="K156" i="1"/>
  <c r="N156" i="1" s="1"/>
  <c r="K164" i="1"/>
  <c r="N164" i="1" s="1"/>
  <c r="K218" i="1"/>
  <c r="K229" i="1"/>
  <c r="N229" i="1" s="1"/>
  <c r="K247" i="1"/>
  <c r="K85" i="1"/>
  <c r="N85" i="1" s="1"/>
  <c r="K109" i="1"/>
  <c r="N109" i="1" s="1"/>
  <c r="K205" i="1"/>
  <c r="N205" i="1" s="1"/>
  <c r="K87" i="1"/>
  <c r="K75" i="1"/>
  <c r="K215" i="1"/>
  <c r="K81" i="1"/>
  <c r="N81" i="1" s="1"/>
  <c r="K201" i="1"/>
  <c r="N201" i="1" s="1"/>
  <c r="K83" i="1"/>
  <c r="K194" i="1"/>
  <c r="N194" i="1" s="1"/>
  <c r="K222" i="1"/>
  <c r="K210" i="1"/>
  <c r="K89" i="1"/>
  <c r="N89" i="1" s="1"/>
  <c r="K180" i="1"/>
  <c r="N180" i="1" s="1"/>
  <c r="K193" i="1"/>
  <c r="N193" i="1" s="1"/>
  <c r="L211" i="1"/>
  <c r="M211" i="1" s="1"/>
  <c r="K123" i="1"/>
  <c r="N123" i="1" s="1"/>
  <c r="K155" i="1"/>
  <c r="N155" i="1" s="1"/>
  <c r="K104" i="1"/>
  <c r="N104" i="1" s="1"/>
  <c r="K107" i="1"/>
  <c r="N107" i="1" s="1"/>
  <c r="K128" i="1"/>
  <c r="N128" i="1" s="1"/>
  <c r="K125" i="1"/>
  <c r="N125" i="1" s="1"/>
  <c r="K212" i="1"/>
  <c r="N212" i="1" s="1"/>
  <c r="L92" i="1"/>
  <c r="M92" i="1" s="1"/>
  <c r="L129" i="1"/>
  <c r="M129" i="1" s="1"/>
  <c r="K190" i="1"/>
  <c r="N190" i="1" s="1"/>
  <c r="K188" i="1"/>
  <c r="N188" i="1" s="1"/>
  <c r="K122" i="1"/>
  <c r="N122" i="1" s="1"/>
  <c r="L98" i="1"/>
  <c r="M98" i="1" s="1"/>
  <c r="K71" i="1"/>
  <c r="N71" i="1" s="1"/>
  <c r="K242" i="1"/>
  <c r="N242" i="1" s="1"/>
  <c r="K250" i="1"/>
  <c r="N250" i="1" s="1"/>
  <c r="K118" i="1"/>
  <c r="N118" i="1" s="1"/>
  <c r="K161" i="1"/>
  <c r="N161" i="1" s="1"/>
  <c r="K187" i="1"/>
  <c r="N187" i="1" s="1"/>
  <c r="K141" i="1"/>
  <c r="N141" i="1" s="1"/>
  <c r="K192" i="1"/>
  <c r="N192" i="1" s="1"/>
  <c r="K103" i="1"/>
  <c r="N103" i="1" s="1"/>
  <c r="K238" i="1"/>
  <c r="N238" i="1" s="1"/>
  <c r="K243" i="1"/>
  <c r="N243" i="1" s="1"/>
  <c r="K197" i="1"/>
  <c r="N197" i="1" s="1"/>
  <c r="K220" i="1"/>
  <c r="N220" i="1" s="1"/>
  <c r="K232" i="1"/>
  <c r="N232" i="1" s="1"/>
  <c r="K249" i="1"/>
  <c r="N249" i="1" s="1"/>
  <c r="K209" i="1"/>
  <c r="N209" i="1" s="1"/>
  <c r="K216" i="1"/>
  <c r="N216" i="1" s="1"/>
  <c r="K167" i="1"/>
  <c r="N167" i="1" s="1"/>
  <c r="K145" i="1"/>
  <c r="N145" i="1" s="1"/>
  <c r="K168" i="1"/>
  <c r="N168" i="1" s="1"/>
  <c r="K143" i="1"/>
  <c r="N143" i="1" s="1"/>
  <c r="K102" i="1"/>
  <c r="N102" i="1" s="1"/>
  <c r="K150" i="1"/>
  <c r="N150" i="1" s="1"/>
  <c r="K231" i="1"/>
  <c r="N231" i="1" s="1"/>
  <c r="K115" i="1"/>
  <c r="N115" i="1" s="1"/>
  <c r="K178" i="1"/>
  <c r="N178" i="1" s="1"/>
  <c r="K74" i="1"/>
  <c r="N74" i="1" s="1"/>
  <c r="K142" i="1"/>
  <c r="N142" i="1" s="1"/>
  <c r="K236" i="1"/>
  <c r="N236" i="1" s="1"/>
  <c r="K105" i="1"/>
  <c r="N105" i="1" s="1"/>
  <c r="K110" i="1"/>
  <c r="N110" i="1" s="1"/>
  <c r="K213" i="1"/>
  <c r="N213" i="1" s="1"/>
  <c r="K157" i="1"/>
  <c r="N157" i="1" s="1"/>
  <c r="K120" i="1"/>
  <c r="N120" i="1" s="1"/>
  <c r="K174" i="1"/>
  <c r="N174" i="1" s="1"/>
  <c r="K233" i="1"/>
  <c r="N233" i="1" s="1"/>
  <c r="K149" i="1"/>
  <c r="N149" i="1" s="1"/>
  <c r="K97" i="1"/>
  <c r="N97" i="1" s="1"/>
  <c r="K69" i="1"/>
  <c r="N69" i="1" s="1"/>
  <c r="K219" i="1"/>
  <c r="N219" i="1" s="1"/>
  <c r="K112" i="1"/>
  <c r="N112" i="1" s="1"/>
  <c r="K175" i="1"/>
  <c r="N175" i="1" s="1"/>
  <c r="K199" i="1"/>
  <c r="N199" i="1" s="1"/>
  <c r="K195" i="1"/>
  <c r="N195" i="1" s="1"/>
  <c r="K186" i="1"/>
  <c r="N186" i="1" s="1"/>
  <c r="K78" i="1"/>
  <c r="N78" i="1" s="1"/>
  <c r="K144" i="1"/>
  <c r="N144" i="1" s="1"/>
  <c r="K126" i="1"/>
  <c r="N126" i="1" s="1"/>
  <c r="K245" i="1"/>
  <c r="N245" i="1" s="1"/>
  <c r="K77" i="1"/>
  <c r="N77" i="1" s="1"/>
  <c r="K72" i="1"/>
  <c r="N72" i="1" s="1"/>
  <c r="K160" i="1"/>
  <c r="N160" i="1" s="1"/>
  <c r="K159" i="1"/>
  <c r="N159" i="1" s="1"/>
  <c r="K172" i="1"/>
  <c r="N172" i="1" s="1"/>
  <c r="K86" i="1"/>
  <c r="N86" i="1" s="1"/>
  <c r="K133" i="1"/>
  <c r="N133" i="1" s="1"/>
  <c r="K196" i="1"/>
  <c r="N196" i="1" s="1"/>
  <c r="K73" i="1"/>
  <c r="N73" i="1" s="1"/>
  <c r="K15" i="1"/>
  <c r="L14" i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AL14" i="1" s="1"/>
  <c r="AM14" i="1" s="1"/>
  <c r="AN14" i="1" s="1"/>
  <c r="AO14" i="1" s="1"/>
  <c r="AP14" i="1" s="1"/>
  <c r="AQ14" i="1" s="1"/>
  <c r="AR14" i="1" s="1"/>
  <c r="AS14" i="1" s="1"/>
  <c r="AT14" i="1" s="1"/>
  <c r="AU14" i="1" s="1"/>
  <c r="AV14" i="1" s="1"/>
  <c r="AW14" i="1" s="1"/>
  <c r="AX14" i="1" s="1"/>
  <c r="AY14" i="1" s="1"/>
  <c r="AZ14" i="1" s="1"/>
  <c r="BA14" i="1" s="1"/>
  <c r="BB14" i="1" s="1"/>
  <c r="BC14" i="1" s="1"/>
  <c r="BD14" i="1" s="1"/>
  <c r="BE14" i="1" s="1"/>
  <c r="BF14" i="1" s="1"/>
  <c r="BG14" i="1" s="1"/>
  <c r="BH14" i="1" s="1"/>
  <c r="BI14" i="1" s="1"/>
  <c r="BJ14" i="1" s="1"/>
  <c r="BK14" i="1" s="1"/>
  <c r="BL14" i="1" s="1"/>
  <c r="BM14" i="1" s="1"/>
  <c r="BN14" i="1" s="1"/>
  <c r="BO14" i="1" s="1"/>
  <c r="BP14" i="1" s="1"/>
  <c r="BQ14" i="1" s="1"/>
  <c r="BR14" i="1" s="1"/>
  <c r="BS14" i="1" s="1"/>
  <c r="BT14" i="1" s="1"/>
  <c r="BU14" i="1" s="1"/>
  <c r="BV14" i="1" s="1"/>
  <c r="BW14" i="1" s="1"/>
  <c r="BX14" i="1" s="1"/>
  <c r="BY14" i="1" s="1"/>
  <c r="BZ14" i="1" s="1"/>
  <c r="CA14" i="1" s="1"/>
  <c r="CB14" i="1" s="1"/>
  <c r="CC14" i="1" s="1"/>
  <c r="CD14" i="1" s="1"/>
  <c r="CE14" i="1" s="1"/>
  <c r="CF14" i="1" s="1"/>
  <c r="CG14" i="1" s="1"/>
  <c r="CH14" i="1" s="1"/>
  <c r="CI14" i="1" s="1"/>
  <c r="CJ14" i="1" s="1"/>
  <c r="CK14" i="1" s="1"/>
  <c r="CL14" i="1" s="1"/>
  <c r="CM14" i="1" s="1"/>
  <c r="CN14" i="1" s="1"/>
  <c r="CO14" i="1" s="1"/>
  <c r="CP14" i="1" s="1"/>
  <c r="CQ14" i="1" s="1"/>
  <c r="CR14" i="1" s="1"/>
  <c r="CS14" i="1" s="1"/>
  <c r="CT14" i="1" s="1"/>
  <c r="CU14" i="1" s="1"/>
  <c r="CV14" i="1" s="1"/>
  <c r="CW14" i="1" s="1"/>
  <c r="CX14" i="1" s="1"/>
  <c r="CY14" i="1" s="1"/>
  <c r="CZ14" i="1" s="1"/>
  <c r="DA14" i="1" s="1"/>
  <c r="DB14" i="1" s="1"/>
  <c r="DC14" i="1" s="1"/>
  <c r="DD14" i="1" s="1"/>
  <c r="DE14" i="1" s="1"/>
  <c r="DF14" i="1" s="1"/>
  <c r="DG14" i="1" s="1"/>
  <c r="AO51" i="1"/>
  <c r="K56" i="1"/>
  <c r="L55" i="1"/>
  <c r="M55" i="1" s="1"/>
  <c r="K27" i="1"/>
  <c r="L237" i="1" l="1"/>
  <c r="M237" i="1" s="1"/>
  <c r="L108" i="1"/>
  <c r="M108" i="1" s="1"/>
  <c r="L153" i="1"/>
  <c r="M153" i="1" s="1"/>
  <c r="L228" i="1"/>
  <c r="M228" i="1" s="1"/>
  <c r="L181" i="1"/>
  <c r="M181" i="1" s="1"/>
  <c r="L76" i="1"/>
  <c r="M76" i="1" s="1"/>
  <c r="L193" i="1"/>
  <c r="M193" i="1" s="1"/>
  <c r="L235" i="1"/>
  <c r="M235" i="1" s="1"/>
  <c r="L152" i="1"/>
  <c r="M152" i="1" s="1"/>
  <c r="L82" i="1"/>
  <c r="M82" i="1" s="1"/>
  <c r="L251" i="1"/>
  <c r="M251" i="1" s="1"/>
  <c r="K255" i="1" s="1"/>
  <c r="L131" i="1"/>
  <c r="M131" i="1" s="1"/>
  <c r="L162" i="1"/>
  <c r="M162" i="1" s="1"/>
  <c r="L206" i="1"/>
  <c r="M206" i="1" s="1"/>
  <c r="L154" i="1"/>
  <c r="M154" i="1" s="1"/>
  <c r="L80" i="1"/>
  <c r="M80" i="1" s="1"/>
  <c r="L200" i="1"/>
  <c r="M200" i="1" s="1"/>
  <c r="L217" i="1"/>
  <c r="M217" i="1" s="1"/>
  <c r="L146" i="1"/>
  <c r="M146" i="1" s="1"/>
  <c r="L179" i="1"/>
  <c r="M179" i="1" s="1"/>
  <c r="L248" i="1"/>
  <c r="M248" i="1" s="1"/>
  <c r="L226" i="1"/>
  <c r="M226" i="1" s="1"/>
  <c r="L134" i="1"/>
  <c r="M134" i="1" s="1"/>
  <c r="L101" i="1"/>
  <c r="M101" i="1" s="1"/>
  <c r="L137" i="1"/>
  <c r="M137" i="1" s="1"/>
  <c r="L183" i="1"/>
  <c r="M183" i="1" s="1"/>
  <c r="L147" i="1"/>
  <c r="M147" i="1" s="1"/>
  <c r="L124" i="1"/>
  <c r="M124" i="1" s="1"/>
  <c r="L114" i="1"/>
  <c r="M114" i="1" s="1"/>
  <c r="L164" i="1"/>
  <c r="M164" i="1" s="1"/>
  <c r="L241" i="1"/>
  <c r="M241" i="1" s="1"/>
  <c r="L130" i="1"/>
  <c r="M130" i="1" s="1"/>
  <c r="L185" i="1"/>
  <c r="M185" i="1" s="1"/>
  <c r="L234" i="1"/>
  <c r="M234" i="1" s="1"/>
  <c r="L139" i="1"/>
  <c r="M139" i="1" s="1"/>
  <c r="L119" i="1"/>
  <c r="M119" i="1" s="1"/>
  <c r="L70" i="1"/>
  <c r="M70" i="1" s="1"/>
  <c r="L240" i="1"/>
  <c r="M240" i="1" s="1"/>
  <c r="L113" i="1"/>
  <c r="M113" i="1" s="1"/>
  <c r="L111" i="1"/>
  <c r="M111" i="1" s="1"/>
  <c r="L207" i="1"/>
  <c r="M207" i="1" s="1"/>
  <c r="L158" i="1"/>
  <c r="M158" i="1" s="1"/>
  <c r="L169" i="1"/>
  <c r="M169" i="1" s="1"/>
  <c r="L173" i="1"/>
  <c r="M173" i="1" s="1"/>
  <c r="L208" i="1"/>
  <c r="M208" i="1" s="1"/>
  <c r="L214" i="1"/>
  <c r="M214" i="1" s="1"/>
  <c r="L88" i="1"/>
  <c r="M88" i="1" s="1"/>
  <c r="L224" i="1"/>
  <c r="M224" i="1" s="1"/>
  <c r="L151" i="1"/>
  <c r="M151" i="1" s="1"/>
  <c r="L165" i="1"/>
  <c r="M165" i="1" s="1"/>
  <c r="L140" i="1"/>
  <c r="M140" i="1" s="1"/>
  <c r="L135" i="1"/>
  <c r="M135" i="1" s="1"/>
  <c r="L94" i="1"/>
  <c r="M94" i="1" s="1"/>
  <c r="L100" i="1"/>
  <c r="M100" i="1" s="1"/>
  <c r="L230" i="1"/>
  <c r="M230" i="1" s="1"/>
  <c r="L244" i="1"/>
  <c r="M244" i="1" s="1"/>
  <c r="L225" i="1"/>
  <c r="M225" i="1" s="1"/>
  <c r="L182" i="1"/>
  <c r="M182" i="1" s="1"/>
  <c r="L221" i="1"/>
  <c r="M221" i="1" s="1"/>
  <c r="L202" i="1"/>
  <c r="M202" i="1" s="1"/>
  <c r="L99" i="1"/>
  <c r="M99" i="1" s="1"/>
  <c r="L239" i="1"/>
  <c r="M239" i="1" s="1"/>
  <c r="L148" i="1"/>
  <c r="M148" i="1" s="1"/>
  <c r="L198" i="1"/>
  <c r="M198" i="1" s="1"/>
  <c r="L227" i="1"/>
  <c r="M227" i="1" s="1"/>
  <c r="L93" i="1"/>
  <c r="M93" i="1" s="1"/>
  <c r="L95" i="1"/>
  <c r="M95" i="1" s="1"/>
  <c r="L176" i="1"/>
  <c r="M176" i="1" s="1"/>
  <c r="L246" i="1"/>
  <c r="M246" i="1" s="1"/>
  <c r="L138" i="1"/>
  <c r="M138" i="1" s="1"/>
  <c r="L229" i="1"/>
  <c r="M229" i="1" s="1"/>
  <c r="L116" i="1"/>
  <c r="M116" i="1" s="1"/>
  <c r="L91" i="1"/>
  <c r="M91" i="1" s="1"/>
  <c r="L191" i="1"/>
  <c r="M191" i="1" s="1"/>
  <c r="L132" i="1"/>
  <c r="M132" i="1" s="1"/>
  <c r="L166" i="1"/>
  <c r="M166" i="1" s="1"/>
  <c r="L170" i="1"/>
  <c r="M170" i="1" s="1"/>
  <c r="L223" i="1"/>
  <c r="M223" i="1" s="1"/>
  <c r="L90" i="1"/>
  <c r="M90" i="1" s="1"/>
  <c r="L127" i="1"/>
  <c r="M127" i="1" s="1"/>
  <c r="L205" i="1"/>
  <c r="M205" i="1" s="1"/>
  <c r="L184" i="1"/>
  <c r="M184" i="1" s="1"/>
  <c r="L106" i="1"/>
  <c r="M106" i="1" s="1"/>
  <c r="L79" i="1"/>
  <c r="M79" i="1" s="1"/>
  <c r="L117" i="1"/>
  <c r="M117" i="1" s="1"/>
  <c r="L180" i="1"/>
  <c r="M180" i="1" s="1"/>
  <c r="L84" i="1"/>
  <c r="M84" i="1" s="1"/>
  <c r="L194" i="1"/>
  <c r="M194" i="1" s="1"/>
  <c r="L189" i="1"/>
  <c r="M189" i="1" s="1"/>
  <c r="L204" i="1"/>
  <c r="M204" i="1" s="1"/>
  <c r="L218" i="1"/>
  <c r="M218" i="1" s="1"/>
  <c r="N218" i="1"/>
  <c r="L89" i="1"/>
  <c r="M89" i="1" s="1"/>
  <c r="L83" i="1"/>
  <c r="M83" i="1" s="1"/>
  <c r="N83" i="1"/>
  <c r="L210" i="1"/>
  <c r="M210" i="1" s="1"/>
  <c r="N210" i="1"/>
  <c r="L222" i="1"/>
  <c r="M222" i="1" s="1"/>
  <c r="N222" i="1"/>
  <c r="L171" i="1"/>
  <c r="M171" i="1" s="1"/>
  <c r="L177" i="1"/>
  <c r="M177" i="1" s="1"/>
  <c r="L109" i="1"/>
  <c r="M109" i="1" s="1"/>
  <c r="L215" i="1"/>
  <c r="M215" i="1" s="1"/>
  <c r="N215" i="1"/>
  <c r="L96" i="1"/>
  <c r="M96" i="1" s="1"/>
  <c r="N96" i="1"/>
  <c r="L247" i="1"/>
  <c r="M247" i="1" s="1"/>
  <c r="N247" i="1"/>
  <c r="L121" i="1"/>
  <c r="M121" i="1" s="1"/>
  <c r="L203" i="1"/>
  <c r="M203" i="1" s="1"/>
  <c r="L75" i="1"/>
  <c r="M75" i="1" s="1"/>
  <c r="N75" i="1"/>
  <c r="L163" i="1"/>
  <c r="M163" i="1" s="1"/>
  <c r="N163" i="1"/>
  <c r="L87" i="1"/>
  <c r="M87" i="1" s="1"/>
  <c r="N87" i="1"/>
  <c r="L136" i="1"/>
  <c r="M136" i="1" s="1"/>
  <c r="N136" i="1"/>
  <c r="L85" i="1"/>
  <c r="M85" i="1" s="1"/>
  <c r="L156" i="1"/>
  <c r="M156" i="1" s="1"/>
  <c r="L81" i="1"/>
  <c r="M81" i="1" s="1"/>
  <c r="L201" i="1"/>
  <c r="M201" i="1" s="1"/>
  <c r="L190" i="1"/>
  <c r="M190" i="1" s="1"/>
  <c r="L144" i="1"/>
  <c r="M144" i="1" s="1"/>
  <c r="L174" i="1"/>
  <c r="M174" i="1" s="1"/>
  <c r="L150" i="1"/>
  <c r="M150" i="1" s="1"/>
  <c r="L243" i="1"/>
  <c r="M243" i="1" s="1"/>
  <c r="L161" i="1"/>
  <c r="M161" i="1" s="1"/>
  <c r="L104" i="1"/>
  <c r="M104" i="1" s="1"/>
  <c r="L231" i="1"/>
  <c r="M231" i="1" s="1"/>
  <c r="L73" i="1"/>
  <c r="M73" i="1" s="1"/>
  <c r="L238" i="1"/>
  <c r="M238" i="1" s="1"/>
  <c r="L118" i="1"/>
  <c r="M118" i="1" s="1"/>
  <c r="L155" i="1"/>
  <c r="M155" i="1" s="1"/>
  <c r="L233" i="1"/>
  <c r="M233" i="1" s="1"/>
  <c r="L186" i="1"/>
  <c r="M186" i="1" s="1"/>
  <c r="L157" i="1"/>
  <c r="M157" i="1" s="1"/>
  <c r="L143" i="1"/>
  <c r="M143" i="1" s="1"/>
  <c r="L103" i="1"/>
  <c r="M103" i="1" s="1"/>
  <c r="L250" i="1"/>
  <c r="M250" i="1" s="1"/>
  <c r="L78" i="1"/>
  <c r="M78" i="1" s="1"/>
  <c r="L195" i="1"/>
  <c r="M195" i="1" s="1"/>
  <c r="L110" i="1"/>
  <c r="M110" i="1" s="1"/>
  <c r="L212" i="1"/>
  <c r="M212" i="1" s="1"/>
  <c r="L122" i="1"/>
  <c r="M122" i="1" s="1"/>
  <c r="L120" i="1"/>
  <c r="M120" i="1" s="1"/>
  <c r="L242" i="1"/>
  <c r="M242" i="1" s="1"/>
  <c r="L167" i="1"/>
  <c r="M167" i="1" s="1"/>
  <c r="L107" i="1"/>
  <c r="M107" i="1" s="1"/>
  <c r="L145" i="1"/>
  <c r="M145" i="1" s="1"/>
  <c r="L112" i="1"/>
  <c r="M112" i="1" s="1"/>
  <c r="L128" i="1"/>
  <c r="M128" i="1" s="1"/>
  <c r="L126" i="1"/>
  <c r="M126" i="1" s="1"/>
  <c r="L168" i="1"/>
  <c r="M168" i="1" s="1"/>
  <c r="L199" i="1"/>
  <c r="M199" i="1" s="1"/>
  <c r="L105" i="1"/>
  <c r="M105" i="1" s="1"/>
  <c r="L159" i="1"/>
  <c r="M159" i="1" s="1"/>
  <c r="L142" i="1"/>
  <c r="M142" i="1" s="1"/>
  <c r="L213" i="1"/>
  <c r="M213" i="1" s="1"/>
  <c r="L175" i="1"/>
  <c r="M175" i="1" s="1"/>
  <c r="L125" i="1"/>
  <c r="M125" i="1" s="1"/>
  <c r="L216" i="1"/>
  <c r="M216" i="1" s="1"/>
  <c r="L160" i="1"/>
  <c r="M160" i="1" s="1"/>
  <c r="L209" i="1"/>
  <c r="M209" i="1" s="1"/>
  <c r="L72" i="1"/>
  <c r="M72" i="1" s="1"/>
  <c r="L249" i="1"/>
  <c r="M249" i="1" s="1"/>
  <c r="L71" i="1"/>
  <c r="M71" i="1" s="1"/>
  <c r="L123" i="1"/>
  <c r="M123" i="1" s="1"/>
  <c r="L102" i="1"/>
  <c r="M102" i="1" s="1"/>
  <c r="L133" i="1"/>
  <c r="M133" i="1" s="1"/>
  <c r="L141" i="1"/>
  <c r="M141" i="1" s="1"/>
  <c r="L236" i="1"/>
  <c r="M236" i="1" s="1"/>
  <c r="L219" i="1"/>
  <c r="M219" i="1" s="1"/>
  <c r="L77" i="1"/>
  <c r="M77" i="1" s="1"/>
  <c r="L178" i="1"/>
  <c r="M178" i="1" s="1"/>
  <c r="L232" i="1"/>
  <c r="M232" i="1" s="1"/>
  <c r="L187" i="1"/>
  <c r="M187" i="1" s="1"/>
  <c r="L197" i="1"/>
  <c r="M197" i="1" s="1"/>
  <c r="L196" i="1"/>
  <c r="M196" i="1" s="1"/>
  <c r="L192" i="1"/>
  <c r="M192" i="1" s="1"/>
  <c r="L86" i="1"/>
  <c r="M86" i="1" s="1"/>
  <c r="L172" i="1"/>
  <c r="M172" i="1" s="1"/>
  <c r="L74" i="1"/>
  <c r="M74" i="1" s="1"/>
  <c r="L97" i="1"/>
  <c r="M97" i="1" s="1"/>
  <c r="L245" i="1"/>
  <c r="M245" i="1" s="1"/>
  <c r="L149" i="1"/>
  <c r="M149" i="1" s="1"/>
  <c r="L115" i="1"/>
  <c r="M115" i="1" s="1"/>
  <c r="L220" i="1"/>
  <c r="M220" i="1" s="1"/>
  <c r="L188" i="1"/>
  <c r="M188" i="1" s="1"/>
  <c r="L69" i="1"/>
  <c r="M69" i="1" s="1"/>
  <c r="AP51" i="1"/>
  <c r="K57" i="1"/>
  <c r="L56" i="1"/>
  <c r="N55" i="1"/>
  <c r="K16" i="1"/>
  <c r="L15" i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Z15" i="1" s="1"/>
  <c r="BA15" i="1" s="1"/>
  <c r="BB15" i="1" s="1"/>
  <c r="BC15" i="1" s="1"/>
  <c r="BD15" i="1" s="1"/>
  <c r="BE15" i="1" s="1"/>
  <c r="BF15" i="1" s="1"/>
  <c r="BG15" i="1" s="1"/>
  <c r="BH15" i="1" s="1"/>
  <c r="BI15" i="1" s="1"/>
  <c r="BJ15" i="1" s="1"/>
  <c r="BK15" i="1" s="1"/>
  <c r="BL15" i="1" s="1"/>
  <c r="BM15" i="1" s="1"/>
  <c r="BN15" i="1" s="1"/>
  <c r="BO15" i="1" s="1"/>
  <c r="BP15" i="1" s="1"/>
  <c r="BQ15" i="1" s="1"/>
  <c r="BR15" i="1" s="1"/>
  <c r="BS15" i="1" s="1"/>
  <c r="BT15" i="1" s="1"/>
  <c r="BU15" i="1" s="1"/>
  <c r="BV15" i="1" s="1"/>
  <c r="BW15" i="1" s="1"/>
  <c r="BX15" i="1" s="1"/>
  <c r="BY15" i="1" s="1"/>
  <c r="BZ15" i="1" s="1"/>
  <c r="CA15" i="1" s="1"/>
  <c r="CB15" i="1" s="1"/>
  <c r="CC15" i="1" s="1"/>
  <c r="CD15" i="1" s="1"/>
  <c r="CE15" i="1" s="1"/>
  <c r="CF15" i="1" s="1"/>
  <c r="CG15" i="1" s="1"/>
  <c r="CH15" i="1" s="1"/>
  <c r="CI15" i="1" s="1"/>
  <c r="CJ15" i="1" s="1"/>
  <c r="CK15" i="1" s="1"/>
  <c r="CL15" i="1" s="1"/>
  <c r="CM15" i="1" s="1"/>
  <c r="CN15" i="1" s="1"/>
  <c r="CO15" i="1" s="1"/>
  <c r="CP15" i="1" s="1"/>
  <c r="CQ15" i="1" s="1"/>
  <c r="CR15" i="1" s="1"/>
  <c r="CS15" i="1" s="1"/>
  <c r="CT15" i="1" s="1"/>
  <c r="CU15" i="1" s="1"/>
  <c r="CV15" i="1" s="1"/>
  <c r="CW15" i="1" s="1"/>
  <c r="CX15" i="1" s="1"/>
  <c r="CY15" i="1" s="1"/>
  <c r="CZ15" i="1" s="1"/>
  <c r="DA15" i="1" s="1"/>
  <c r="DB15" i="1" s="1"/>
  <c r="DC15" i="1" s="1"/>
  <c r="DD15" i="1" s="1"/>
  <c r="DE15" i="1" s="1"/>
  <c r="DF15" i="1" s="1"/>
  <c r="DG15" i="1" s="1"/>
  <c r="K28" i="1"/>
  <c r="O55" i="1" l="1"/>
  <c r="M56" i="1"/>
  <c r="K17" i="1"/>
  <c r="L16" i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AM16" i="1" s="1"/>
  <c r="AN16" i="1" s="1"/>
  <c r="AO16" i="1" s="1"/>
  <c r="AP16" i="1" s="1"/>
  <c r="AQ16" i="1" s="1"/>
  <c r="AR16" i="1" s="1"/>
  <c r="AS16" i="1" s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BG16" i="1" s="1"/>
  <c r="BH16" i="1" s="1"/>
  <c r="BI16" i="1" s="1"/>
  <c r="BJ16" i="1" s="1"/>
  <c r="BK16" i="1" s="1"/>
  <c r="BL16" i="1" s="1"/>
  <c r="BM16" i="1" s="1"/>
  <c r="BN16" i="1" s="1"/>
  <c r="BO16" i="1" s="1"/>
  <c r="BP16" i="1" s="1"/>
  <c r="BQ16" i="1" s="1"/>
  <c r="BR16" i="1" s="1"/>
  <c r="BS16" i="1" s="1"/>
  <c r="BT16" i="1" s="1"/>
  <c r="BU16" i="1" s="1"/>
  <c r="BV16" i="1" s="1"/>
  <c r="BW16" i="1" s="1"/>
  <c r="BX16" i="1" s="1"/>
  <c r="BY16" i="1" s="1"/>
  <c r="BZ16" i="1" s="1"/>
  <c r="CA16" i="1" s="1"/>
  <c r="CB16" i="1" s="1"/>
  <c r="CC16" i="1" s="1"/>
  <c r="CD16" i="1" s="1"/>
  <c r="CE16" i="1" s="1"/>
  <c r="CF16" i="1" s="1"/>
  <c r="CG16" i="1" s="1"/>
  <c r="CH16" i="1" s="1"/>
  <c r="CI16" i="1" s="1"/>
  <c r="CJ16" i="1" s="1"/>
  <c r="CK16" i="1" s="1"/>
  <c r="CL16" i="1" s="1"/>
  <c r="CM16" i="1" s="1"/>
  <c r="CN16" i="1" s="1"/>
  <c r="CO16" i="1" s="1"/>
  <c r="CP16" i="1" s="1"/>
  <c r="CQ16" i="1" s="1"/>
  <c r="CR16" i="1" s="1"/>
  <c r="CS16" i="1" s="1"/>
  <c r="CT16" i="1" s="1"/>
  <c r="CU16" i="1" s="1"/>
  <c r="CV16" i="1" s="1"/>
  <c r="CW16" i="1" s="1"/>
  <c r="CX16" i="1" s="1"/>
  <c r="CY16" i="1" s="1"/>
  <c r="CZ16" i="1" s="1"/>
  <c r="DA16" i="1" s="1"/>
  <c r="DB16" i="1" s="1"/>
  <c r="DC16" i="1" s="1"/>
  <c r="DD16" i="1" s="1"/>
  <c r="DE16" i="1" s="1"/>
  <c r="DF16" i="1" s="1"/>
  <c r="DG16" i="1" s="1"/>
  <c r="K58" i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AG58" i="1" s="1"/>
  <c r="AH58" i="1" s="1"/>
  <c r="AI58" i="1" s="1"/>
  <c r="AJ58" i="1" s="1"/>
  <c r="AK58" i="1" s="1"/>
  <c r="AL58" i="1" s="1"/>
  <c r="AM58" i="1" s="1"/>
  <c r="AN58" i="1" s="1"/>
  <c r="AO58" i="1" s="1"/>
  <c r="AP58" i="1" s="1"/>
  <c r="AQ58" i="1" s="1"/>
  <c r="AR58" i="1" s="1"/>
  <c r="AS58" i="1" s="1"/>
  <c r="AT58" i="1" s="1"/>
  <c r="AU58" i="1" s="1"/>
  <c r="AV58" i="1" s="1"/>
  <c r="AW58" i="1" s="1"/>
  <c r="AX58" i="1" s="1"/>
  <c r="AY58" i="1" s="1"/>
  <c r="AZ58" i="1" s="1"/>
  <c r="BA58" i="1" s="1"/>
  <c r="BB58" i="1" s="1"/>
  <c r="BC58" i="1" s="1"/>
  <c r="BD58" i="1" s="1"/>
  <c r="BE58" i="1" s="1"/>
  <c r="BF58" i="1" s="1"/>
  <c r="BG58" i="1" s="1"/>
  <c r="BH58" i="1" s="1"/>
  <c r="BI58" i="1" s="1"/>
  <c r="BJ58" i="1" s="1"/>
  <c r="BK58" i="1" s="1"/>
  <c r="BL58" i="1" s="1"/>
  <c r="BM58" i="1" s="1"/>
  <c r="BN58" i="1" s="1"/>
  <c r="BO58" i="1" s="1"/>
  <c r="BP58" i="1" s="1"/>
  <c r="BQ58" i="1" s="1"/>
  <c r="BR58" i="1" s="1"/>
  <c r="BS58" i="1" s="1"/>
  <c r="BT58" i="1" s="1"/>
  <c r="BU58" i="1" s="1"/>
  <c r="BV58" i="1" s="1"/>
  <c r="BW58" i="1" s="1"/>
  <c r="BX58" i="1" s="1"/>
  <c r="BY58" i="1" s="1"/>
  <c r="BZ58" i="1" s="1"/>
  <c r="CA58" i="1" s="1"/>
  <c r="CB58" i="1" s="1"/>
  <c r="CC58" i="1" s="1"/>
  <c r="CD58" i="1" s="1"/>
  <c r="CE58" i="1" s="1"/>
  <c r="CF58" i="1" s="1"/>
  <c r="CG58" i="1" s="1"/>
  <c r="CH58" i="1" s="1"/>
  <c r="CI58" i="1" s="1"/>
  <c r="CJ58" i="1" s="1"/>
  <c r="CK58" i="1" s="1"/>
  <c r="CL58" i="1" s="1"/>
  <c r="CM58" i="1" s="1"/>
  <c r="CN58" i="1" s="1"/>
  <c r="CO58" i="1" s="1"/>
  <c r="CP58" i="1" s="1"/>
  <c r="CQ58" i="1" s="1"/>
  <c r="CR58" i="1" s="1"/>
  <c r="CS58" i="1" s="1"/>
  <c r="CT58" i="1" s="1"/>
  <c r="CU58" i="1" s="1"/>
  <c r="CV58" i="1" s="1"/>
  <c r="CW58" i="1" s="1"/>
  <c r="CX58" i="1" s="1"/>
  <c r="CY58" i="1" s="1"/>
  <c r="CZ58" i="1" s="1"/>
  <c r="DA58" i="1" s="1"/>
  <c r="DB58" i="1" s="1"/>
  <c r="DC58" i="1" s="1"/>
  <c r="DD58" i="1" s="1"/>
  <c r="DE58" i="1" s="1"/>
  <c r="DF58" i="1" s="1"/>
  <c r="DG58" i="1" s="1"/>
  <c r="L57" i="1"/>
  <c r="M57" i="1" s="1"/>
  <c r="N57" i="1" s="1"/>
  <c r="O57" i="1" s="1"/>
  <c r="P57" i="1" s="1"/>
  <c r="Q57" i="1" s="1"/>
  <c r="R57" i="1" s="1"/>
  <c r="S57" i="1" s="1"/>
  <c r="T57" i="1" s="1"/>
  <c r="U57" i="1" s="1"/>
  <c r="V57" i="1" s="1"/>
  <c r="W57" i="1" s="1"/>
  <c r="X57" i="1" s="1"/>
  <c r="Y57" i="1" s="1"/>
  <c r="Z57" i="1" s="1"/>
  <c r="AA57" i="1" s="1"/>
  <c r="AB57" i="1" s="1"/>
  <c r="AC57" i="1" s="1"/>
  <c r="AD57" i="1" s="1"/>
  <c r="AE57" i="1" s="1"/>
  <c r="AF57" i="1" s="1"/>
  <c r="AG57" i="1" s="1"/>
  <c r="AH57" i="1" s="1"/>
  <c r="AI57" i="1" s="1"/>
  <c r="AJ57" i="1" s="1"/>
  <c r="AK57" i="1" s="1"/>
  <c r="AL57" i="1" s="1"/>
  <c r="AM57" i="1" s="1"/>
  <c r="AN57" i="1" s="1"/>
  <c r="AO57" i="1" s="1"/>
  <c r="AP57" i="1" s="1"/>
  <c r="AQ57" i="1" s="1"/>
  <c r="AR57" i="1" s="1"/>
  <c r="AS57" i="1" s="1"/>
  <c r="AT57" i="1" s="1"/>
  <c r="AU57" i="1" s="1"/>
  <c r="AV57" i="1" s="1"/>
  <c r="AW57" i="1" s="1"/>
  <c r="AX57" i="1" s="1"/>
  <c r="AY57" i="1" s="1"/>
  <c r="AZ57" i="1" s="1"/>
  <c r="BA57" i="1" s="1"/>
  <c r="BB57" i="1" s="1"/>
  <c r="BC57" i="1" s="1"/>
  <c r="BD57" i="1" s="1"/>
  <c r="BE57" i="1" s="1"/>
  <c r="BF57" i="1" s="1"/>
  <c r="BG57" i="1" s="1"/>
  <c r="BH57" i="1" s="1"/>
  <c r="BI57" i="1" s="1"/>
  <c r="BJ57" i="1" s="1"/>
  <c r="BK57" i="1" s="1"/>
  <c r="BL57" i="1" s="1"/>
  <c r="BM57" i="1" s="1"/>
  <c r="BN57" i="1" s="1"/>
  <c r="BO57" i="1" s="1"/>
  <c r="BP57" i="1" s="1"/>
  <c r="BQ57" i="1" s="1"/>
  <c r="BR57" i="1" s="1"/>
  <c r="BS57" i="1" s="1"/>
  <c r="BT57" i="1" s="1"/>
  <c r="BU57" i="1" s="1"/>
  <c r="BV57" i="1" s="1"/>
  <c r="BW57" i="1" s="1"/>
  <c r="BX57" i="1" s="1"/>
  <c r="BY57" i="1" s="1"/>
  <c r="BZ57" i="1" s="1"/>
  <c r="CA57" i="1" s="1"/>
  <c r="CB57" i="1" s="1"/>
  <c r="CC57" i="1" s="1"/>
  <c r="CD57" i="1" s="1"/>
  <c r="CE57" i="1" s="1"/>
  <c r="CF57" i="1" s="1"/>
  <c r="CG57" i="1" s="1"/>
  <c r="CH57" i="1" s="1"/>
  <c r="CI57" i="1" s="1"/>
  <c r="CJ57" i="1" s="1"/>
  <c r="CK57" i="1" s="1"/>
  <c r="CL57" i="1" s="1"/>
  <c r="CM57" i="1" s="1"/>
  <c r="CN57" i="1" s="1"/>
  <c r="CO57" i="1" s="1"/>
  <c r="CP57" i="1" s="1"/>
  <c r="CQ57" i="1" s="1"/>
  <c r="CR57" i="1" s="1"/>
  <c r="CS57" i="1" s="1"/>
  <c r="CT57" i="1" s="1"/>
  <c r="CU57" i="1" s="1"/>
  <c r="CV57" i="1" s="1"/>
  <c r="CW57" i="1" s="1"/>
  <c r="CX57" i="1" s="1"/>
  <c r="CY57" i="1" s="1"/>
  <c r="CZ57" i="1" s="1"/>
  <c r="DA57" i="1" s="1"/>
  <c r="DB57" i="1" s="1"/>
  <c r="DC57" i="1" s="1"/>
  <c r="DD57" i="1" s="1"/>
  <c r="DE57" i="1" s="1"/>
  <c r="DF57" i="1" s="1"/>
  <c r="DG57" i="1" s="1"/>
  <c r="K61" i="1"/>
  <c r="AQ51" i="1"/>
  <c r="K29" i="1"/>
  <c r="AR51" i="1" l="1"/>
  <c r="K63" i="1"/>
  <c r="K62" i="1"/>
  <c r="K18" i="1"/>
  <c r="L17" i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AK17" i="1" s="1"/>
  <c r="AL17" i="1" s="1"/>
  <c r="AM17" i="1" s="1"/>
  <c r="AN17" i="1" s="1"/>
  <c r="AO17" i="1" s="1"/>
  <c r="AP17" i="1" s="1"/>
  <c r="AQ17" i="1" s="1"/>
  <c r="AR17" i="1" s="1"/>
  <c r="AS17" i="1" s="1"/>
  <c r="AT17" i="1" s="1"/>
  <c r="AU17" i="1" s="1"/>
  <c r="AV17" i="1" s="1"/>
  <c r="AW17" i="1" s="1"/>
  <c r="AX17" i="1" s="1"/>
  <c r="AY17" i="1" s="1"/>
  <c r="AZ17" i="1" s="1"/>
  <c r="BA17" i="1" s="1"/>
  <c r="BB17" i="1" s="1"/>
  <c r="BC17" i="1" s="1"/>
  <c r="BD17" i="1" s="1"/>
  <c r="BE17" i="1" s="1"/>
  <c r="BF17" i="1" s="1"/>
  <c r="BG17" i="1" s="1"/>
  <c r="BH17" i="1" s="1"/>
  <c r="BI17" i="1" s="1"/>
  <c r="BJ17" i="1" s="1"/>
  <c r="BK17" i="1" s="1"/>
  <c r="BL17" i="1" s="1"/>
  <c r="BM17" i="1" s="1"/>
  <c r="BN17" i="1" s="1"/>
  <c r="BO17" i="1" s="1"/>
  <c r="BP17" i="1" s="1"/>
  <c r="BQ17" i="1" s="1"/>
  <c r="BR17" i="1" s="1"/>
  <c r="BS17" i="1" s="1"/>
  <c r="BT17" i="1" s="1"/>
  <c r="BU17" i="1" s="1"/>
  <c r="BV17" i="1" s="1"/>
  <c r="BW17" i="1" s="1"/>
  <c r="BX17" i="1" s="1"/>
  <c r="BY17" i="1" s="1"/>
  <c r="BZ17" i="1" s="1"/>
  <c r="CA17" i="1" s="1"/>
  <c r="CB17" i="1" s="1"/>
  <c r="CC17" i="1" s="1"/>
  <c r="CD17" i="1" s="1"/>
  <c r="CE17" i="1" s="1"/>
  <c r="CF17" i="1" s="1"/>
  <c r="CG17" i="1" s="1"/>
  <c r="CH17" i="1" s="1"/>
  <c r="CI17" i="1" s="1"/>
  <c r="CJ17" i="1" s="1"/>
  <c r="CK17" i="1" s="1"/>
  <c r="CL17" i="1" s="1"/>
  <c r="CM17" i="1" s="1"/>
  <c r="CN17" i="1" s="1"/>
  <c r="CO17" i="1" s="1"/>
  <c r="CP17" i="1" s="1"/>
  <c r="CQ17" i="1" s="1"/>
  <c r="CR17" i="1" s="1"/>
  <c r="CS17" i="1" s="1"/>
  <c r="CT17" i="1" s="1"/>
  <c r="CU17" i="1" s="1"/>
  <c r="CV17" i="1" s="1"/>
  <c r="CW17" i="1" s="1"/>
  <c r="CX17" i="1" s="1"/>
  <c r="CY17" i="1" s="1"/>
  <c r="CZ17" i="1" s="1"/>
  <c r="DA17" i="1" s="1"/>
  <c r="DB17" i="1" s="1"/>
  <c r="DC17" i="1" s="1"/>
  <c r="DD17" i="1" s="1"/>
  <c r="DE17" i="1" s="1"/>
  <c r="DF17" i="1" s="1"/>
  <c r="DG17" i="1" s="1"/>
  <c r="L61" i="1"/>
  <c r="N56" i="1"/>
  <c r="M61" i="1"/>
  <c r="P55" i="1"/>
  <c r="K30" i="1"/>
  <c r="Q55" i="1" l="1"/>
  <c r="M62" i="1"/>
  <c r="M63" i="1"/>
  <c r="O56" i="1"/>
  <c r="N61" i="1"/>
  <c r="L63" i="1"/>
  <c r="L62" i="1"/>
  <c r="K19" i="1"/>
  <c r="L19" i="1" s="1"/>
  <c r="M19" i="1" s="1"/>
  <c r="N19" i="1" s="1"/>
  <c r="O19" i="1" s="1"/>
  <c r="P19" i="1" s="1"/>
  <c r="Q19" i="1" s="1"/>
  <c r="R19" i="1" s="1"/>
  <c r="S19" i="1" s="1"/>
  <c r="T19" i="1" s="1"/>
  <c r="U19" i="1" s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AP19" i="1" s="1"/>
  <c r="AQ19" i="1" s="1"/>
  <c r="AR19" i="1" s="1"/>
  <c r="AS19" i="1" s="1"/>
  <c r="AT19" i="1" s="1"/>
  <c r="AU19" i="1" s="1"/>
  <c r="AV19" i="1" s="1"/>
  <c r="AW19" i="1" s="1"/>
  <c r="AX19" i="1" s="1"/>
  <c r="AY19" i="1" s="1"/>
  <c r="AZ19" i="1" s="1"/>
  <c r="BA19" i="1" s="1"/>
  <c r="BB19" i="1" s="1"/>
  <c r="BC19" i="1" s="1"/>
  <c r="BD19" i="1" s="1"/>
  <c r="BE19" i="1" s="1"/>
  <c r="BF19" i="1" s="1"/>
  <c r="BG19" i="1" s="1"/>
  <c r="BH19" i="1" s="1"/>
  <c r="BI19" i="1" s="1"/>
  <c r="BJ19" i="1" s="1"/>
  <c r="BK19" i="1" s="1"/>
  <c r="BL19" i="1" s="1"/>
  <c r="BM19" i="1" s="1"/>
  <c r="BN19" i="1" s="1"/>
  <c r="BO19" i="1" s="1"/>
  <c r="BP19" i="1" s="1"/>
  <c r="BQ19" i="1" s="1"/>
  <c r="BR19" i="1" s="1"/>
  <c r="BS19" i="1" s="1"/>
  <c r="BT19" i="1" s="1"/>
  <c r="BU19" i="1" s="1"/>
  <c r="BV19" i="1" s="1"/>
  <c r="BW19" i="1" s="1"/>
  <c r="BX19" i="1" s="1"/>
  <c r="BY19" i="1" s="1"/>
  <c r="BZ19" i="1" s="1"/>
  <c r="CA19" i="1" s="1"/>
  <c r="CB19" i="1" s="1"/>
  <c r="CC19" i="1" s="1"/>
  <c r="CD19" i="1" s="1"/>
  <c r="CE19" i="1" s="1"/>
  <c r="CF19" i="1" s="1"/>
  <c r="CG19" i="1" s="1"/>
  <c r="CH19" i="1" s="1"/>
  <c r="CI19" i="1" s="1"/>
  <c r="CJ19" i="1" s="1"/>
  <c r="CK19" i="1" s="1"/>
  <c r="CL19" i="1" s="1"/>
  <c r="CM19" i="1" s="1"/>
  <c r="CN19" i="1" s="1"/>
  <c r="CO19" i="1" s="1"/>
  <c r="CP19" i="1" s="1"/>
  <c r="CQ19" i="1" s="1"/>
  <c r="CR19" i="1" s="1"/>
  <c r="CS19" i="1" s="1"/>
  <c r="CT19" i="1" s="1"/>
  <c r="CU19" i="1" s="1"/>
  <c r="CV19" i="1" s="1"/>
  <c r="CW19" i="1" s="1"/>
  <c r="CX19" i="1" s="1"/>
  <c r="CY19" i="1" s="1"/>
  <c r="CZ19" i="1" s="1"/>
  <c r="DA19" i="1" s="1"/>
  <c r="DB19" i="1" s="1"/>
  <c r="DC19" i="1" s="1"/>
  <c r="DD19" i="1" s="1"/>
  <c r="DE19" i="1" s="1"/>
  <c r="DF19" i="1" s="1"/>
  <c r="DG19" i="1" s="1"/>
  <c r="L18" i="1"/>
  <c r="M18" i="1" s="1"/>
  <c r="N18" i="1" s="1"/>
  <c r="O18" i="1" s="1"/>
  <c r="P18" i="1" s="1"/>
  <c r="Q18" i="1" s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AL18" i="1" s="1"/>
  <c r="AM18" i="1" s="1"/>
  <c r="AN18" i="1" s="1"/>
  <c r="AO18" i="1" s="1"/>
  <c r="AP18" i="1" s="1"/>
  <c r="AQ18" i="1" s="1"/>
  <c r="AR18" i="1" s="1"/>
  <c r="AS18" i="1" s="1"/>
  <c r="AT18" i="1" s="1"/>
  <c r="AU18" i="1" s="1"/>
  <c r="AV18" i="1" s="1"/>
  <c r="AW18" i="1" s="1"/>
  <c r="AX18" i="1" s="1"/>
  <c r="AY18" i="1" s="1"/>
  <c r="AZ18" i="1" s="1"/>
  <c r="BA18" i="1" s="1"/>
  <c r="BB18" i="1" s="1"/>
  <c r="BC18" i="1" s="1"/>
  <c r="BD18" i="1" s="1"/>
  <c r="BE18" i="1" s="1"/>
  <c r="BF18" i="1" s="1"/>
  <c r="BG18" i="1" s="1"/>
  <c r="BH18" i="1" s="1"/>
  <c r="BI18" i="1" s="1"/>
  <c r="BJ18" i="1" s="1"/>
  <c r="BK18" i="1" s="1"/>
  <c r="BL18" i="1" s="1"/>
  <c r="BM18" i="1" s="1"/>
  <c r="BN18" i="1" s="1"/>
  <c r="BO18" i="1" s="1"/>
  <c r="BP18" i="1" s="1"/>
  <c r="BQ18" i="1" s="1"/>
  <c r="BR18" i="1" s="1"/>
  <c r="BS18" i="1" s="1"/>
  <c r="BT18" i="1" s="1"/>
  <c r="BU18" i="1" s="1"/>
  <c r="BV18" i="1" s="1"/>
  <c r="BW18" i="1" s="1"/>
  <c r="BX18" i="1" s="1"/>
  <c r="BY18" i="1" s="1"/>
  <c r="BZ18" i="1" s="1"/>
  <c r="CA18" i="1" s="1"/>
  <c r="CB18" i="1" s="1"/>
  <c r="CC18" i="1" s="1"/>
  <c r="CD18" i="1" s="1"/>
  <c r="CE18" i="1" s="1"/>
  <c r="CF18" i="1" s="1"/>
  <c r="CG18" i="1" s="1"/>
  <c r="CH18" i="1" s="1"/>
  <c r="CI18" i="1" s="1"/>
  <c r="CJ18" i="1" s="1"/>
  <c r="CK18" i="1" s="1"/>
  <c r="CL18" i="1" s="1"/>
  <c r="CM18" i="1" s="1"/>
  <c r="CN18" i="1" s="1"/>
  <c r="CO18" i="1" s="1"/>
  <c r="CP18" i="1" s="1"/>
  <c r="CQ18" i="1" s="1"/>
  <c r="CR18" i="1" s="1"/>
  <c r="CS18" i="1" s="1"/>
  <c r="CT18" i="1" s="1"/>
  <c r="CU18" i="1" s="1"/>
  <c r="CV18" i="1" s="1"/>
  <c r="CW18" i="1" s="1"/>
  <c r="CX18" i="1" s="1"/>
  <c r="CY18" i="1" s="1"/>
  <c r="CZ18" i="1" s="1"/>
  <c r="DA18" i="1" s="1"/>
  <c r="DB18" i="1" s="1"/>
  <c r="DC18" i="1" s="1"/>
  <c r="DD18" i="1" s="1"/>
  <c r="DE18" i="1" s="1"/>
  <c r="DF18" i="1" s="1"/>
  <c r="DG18" i="1" s="1"/>
  <c r="AS51" i="1"/>
  <c r="K31" i="1"/>
  <c r="AT51" i="1" l="1"/>
  <c r="P56" i="1"/>
  <c r="O61" i="1"/>
  <c r="N62" i="1"/>
  <c r="N63" i="1"/>
  <c r="R55" i="1"/>
  <c r="K32" i="1"/>
  <c r="S55" i="1" l="1"/>
  <c r="O62" i="1"/>
  <c r="O63" i="1"/>
  <c r="Q56" i="1"/>
  <c r="P61" i="1"/>
  <c r="AU51" i="1"/>
  <c r="AV51" i="1" l="1"/>
  <c r="P63" i="1"/>
  <c r="P62" i="1"/>
  <c r="R56" i="1"/>
  <c r="Q61" i="1"/>
  <c r="T55" i="1"/>
  <c r="U55" i="1" l="1"/>
  <c r="Q63" i="1"/>
  <c r="Q62" i="1"/>
  <c r="S56" i="1"/>
  <c r="R61" i="1"/>
  <c r="AW51" i="1"/>
  <c r="T56" i="1" l="1"/>
  <c r="S61" i="1"/>
  <c r="AX51" i="1"/>
  <c r="R62" i="1"/>
  <c r="R63" i="1"/>
  <c r="V55" i="1"/>
  <c r="W55" i="1" l="1"/>
  <c r="AY51" i="1"/>
  <c r="S62" i="1"/>
  <c r="S63" i="1"/>
  <c r="U56" i="1"/>
  <c r="T61" i="1"/>
  <c r="T63" i="1" l="1"/>
  <c r="T62" i="1"/>
  <c r="V56" i="1"/>
  <c r="U61" i="1"/>
  <c r="AZ51" i="1"/>
  <c r="X55" i="1"/>
  <c r="Y55" i="1" l="1"/>
  <c r="BA51" i="1"/>
  <c r="U62" i="1"/>
  <c r="U63" i="1"/>
  <c r="W56" i="1"/>
  <c r="V61" i="1"/>
  <c r="X56" i="1" l="1"/>
  <c r="W61" i="1"/>
  <c r="V62" i="1"/>
  <c r="V63" i="1"/>
  <c r="BB51" i="1"/>
  <c r="Z55" i="1"/>
  <c r="AA55" i="1" l="1"/>
  <c r="BC51" i="1"/>
  <c r="W62" i="1"/>
  <c r="W63" i="1"/>
  <c r="Y56" i="1"/>
  <c r="X61" i="1"/>
  <c r="X62" i="1" l="1"/>
  <c r="X63" i="1"/>
  <c r="Z56" i="1"/>
  <c r="Y61" i="1"/>
  <c r="BD51" i="1"/>
  <c r="AB55" i="1"/>
  <c r="AA56" i="1" l="1"/>
  <c r="Z61" i="1"/>
  <c r="AC55" i="1"/>
  <c r="BE51" i="1"/>
  <c r="Y62" i="1"/>
  <c r="Y63" i="1"/>
  <c r="BF51" i="1" l="1"/>
  <c r="Z62" i="1"/>
  <c r="Z63" i="1"/>
  <c r="AD55" i="1"/>
  <c r="AB56" i="1"/>
  <c r="AA61" i="1"/>
  <c r="AA62" i="1" l="1"/>
  <c r="AA63" i="1"/>
  <c r="AC56" i="1"/>
  <c r="AB61" i="1"/>
  <c r="AE55" i="1"/>
  <c r="BG51" i="1"/>
  <c r="BH51" i="1" l="1"/>
  <c r="AD56" i="1"/>
  <c r="AC61" i="1"/>
  <c r="AF55" i="1"/>
  <c r="AB62" i="1"/>
  <c r="AB63" i="1"/>
  <c r="AC63" i="1" l="1"/>
  <c r="AC62" i="1"/>
  <c r="AG55" i="1"/>
  <c r="AE56" i="1"/>
  <c r="AD61" i="1"/>
  <c r="BI51" i="1"/>
  <c r="AD62" i="1" l="1"/>
  <c r="AD63" i="1"/>
  <c r="BJ51" i="1"/>
  <c r="AF56" i="1"/>
  <c r="AE61" i="1"/>
  <c r="AH55" i="1"/>
  <c r="AE63" i="1" l="1"/>
  <c r="AE62" i="1"/>
  <c r="AI55" i="1"/>
  <c r="AG56" i="1"/>
  <c r="AF61" i="1"/>
  <c r="BK51" i="1"/>
  <c r="BL51" i="1" l="1"/>
  <c r="AF62" i="1"/>
  <c r="AF63" i="1"/>
  <c r="AH56" i="1"/>
  <c r="AG61" i="1"/>
  <c r="AJ55" i="1"/>
  <c r="AK55" i="1" l="1"/>
  <c r="AG63" i="1"/>
  <c r="AG62" i="1"/>
  <c r="AI56" i="1"/>
  <c r="AH61" i="1"/>
  <c r="BM51" i="1"/>
  <c r="BN51" i="1" l="1"/>
  <c r="AH62" i="1"/>
  <c r="AH63" i="1"/>
  <c r="AJ56" i="1"/>
  <c r="AI61" i="1"/>
  <c r="AL55" i="1"/>
  <c r="AM55" i="1" l="1"/>
  <c r="AI63" i="1"/>
  <c r="AI62" i="1"/>
  <c r="AK56" i="1"/>
  <c r="AJ61" i="1"/>
  <c r="BO51" i="1"/>
  <c r="BP51" i="1" l="1"/>
  <c r="AJ62" i="1"/>
  <c r="AJ63" i="1"/>
  <c r="AL56" i="1"/>
  <c r="AK61" i="1"/>
  <c r="AN55" i="1"/>
  <c r="AO55" i="1" l="1"/>
  <c r="AM56" i="1"/>
  <c r="AL61" i="1"/>
  <c r="AK63" i="1"/>
  <c r="AK62" i="1"/>
  <c r="BQ51" i="1"/>
  <c r="BR51" i="1" l="1"/>
  <c r="AL62" i="1"/>
  <c r="AL63" i="1"/>
  <c r="AN56" i="1"/>
  <c r="AM61" i="1"/>
  <c r="AP55" i="1"/>
  <c r="AO56" i="1" l="1"/>
  <c r="AN61" i="1"/>
  <c r="AM62" i="1"/>
  <c r="AM63" i="1"/>
  <c r="AQ55" i="1"/>
  <c r="BS51" i="1"/>
  <c r="BT51" i="1" l="1"/>
  <c r="AR55" i="1"/>
  <c r="AN62" i="1"/>
  <c r="AN63" i="1"/>
  <c r="AP56" i="1"/>
  <c r="AO61" i="1"/>
  <c r="AQ56" i="1" l="1"/>
  <c r="AP61" i="1"/>
  <c r="AO62" i="1"/>
  <c r="AO63" i="1"/>
  <c r="AS55" i="1"/>
  <c r="BU51" i="1"/>
  <c r="BV51" i="1" l="1"/>
  <c r="AT55" i="1"/>
  <c r="AP62" i="1"/>
  <c r="AP63" i="1"/>
  <c r="AR56" i="1"/>
  <c r="AQ61" i="1"/>
  <c r="AQ62" i="1" l="1"/>
  <c r="AQ63" i="1"/>
  <c r="AS56" i="1"/>
  <c r="AR61" i="1"/>
  <c r="AU55" i="1"/>
  <c r="BW51" i="1"/>
  <c r="BX51" i="1" l="1"/>
  <c r="AV55" i="1"/>
  <c r="AR63" i="1"/>
  <c r="AR62" i="1"/>
  <c r="AT56" i="1"/>
  <c r="AS61" i="1"/>
  <c r="AS63" i="1" l="1"/>
  <c r="AS62" i="1"/>
  <c r="AU56" i="1"/>
  <c r="AT61" i="1"/>
  <c r="AW55" i="1"/>
  <c r="BY51" i="1"/>
  <c r="BZ51" i="1" l="1"/>
  <c r="AT62" i="1"/>
  <c r="AT63" i="1"/>
  <c r="AX55" i="1"/>
  <c r="AV56" i="1"/>
  <c r="AU61" i="1"/>
  <c r="AU62" i="1" l="1"/>
  <c r="AU63" i="1"/>
  <c r="AW56" i="1"/>
  <c r="AV61" i="1"/>
  <c r="AY55" i="1"/>
  <c r="CA51" i="1"/>
  <c r="CB51" i="1" l="1"/>
  <c r="AZ55" i="1"/>
  <c r="AV62" i="1"/>
  <c r="AV63" i="1"/>
  <c r="AX56" i="1"/>
  <c r="AW61" i="1"/>
  <c r="AW62" i="1" l="1"/>
  <c r="AW63" i="1"/>
  <c r="AY56" i="1"/>
  <c r="AX61" i="1"/>
  <c r="BA55" i="1"/>
  <c r="CC51" i="1"/>
  <c r="CD51" i="1" l="1"/>
  <c r="BB55" i="1"/>
  <c r="AX62" i="1"/>
  <c r="AX63" i="1"/>
  <c r="AZ56" i="1"/>
  <c r="AY61" i="1"/>
  <c r="BA56" i="1" l="1"/>
  <c r="AZ61" i="1"/>
  <c r="AY62" i="1"/>
  <c r="AY63" i="1"/>
  <c r="BC55" i="1"/>
  <c r="CE51" i="1"/>
  <c r="CF51" i="1" l="1"/>
  <c r="BD55" i="1"/>
  <c r="AZ62" i="1"/>
  <c r="AZ63" i="1"/>
  <c r="BB56" i="1"/>
  <c r="BA61" i="1"/>
  <c r="BC56" i="1" l="1"/>
  <c r="BB61" i="1"/>
  <c r="BA62" i="1"/>
  <c r="BA63" i="1"/>
  <c r="BE55" i="1"/>
  <c r="CG51" i="1"/>
  <c r="CH51" i="1" l="1"/>
  <c r="BB62" i="1"/>
  <c r="BB63" i="1"/>
  <c r="BF55" i="1"/>
  <c r="BD56" i="1"/>
  <c r="BC61" i="1"/>
  <c r="BG55" i="1" l="1"/>
  <c r="BE56" i="1"/>
  <c r="BD61" i="1"/>
  <c r="BC62" i="1"/>
  <c r="BC63" i="1"/>
  <c r="CI51" i="1"/>
  <c r="BD62" i="1" l="1"/>
  <c r="BD63" i="1"/>
  <c r="CJ51" i="1"/>
  <c r="BF56" i="1"/>
  <c r="BE61" i="1"/>
  <c r="BH55" i="1"/>
  <c r="BI55" i="1" l="1"/>
  <c r="BE63" i="1"/>
  <c r="BE62" i="1"/>
  <c r="BG56" i="1"/>
  <c r="BF61" i="1"/>
  <c r="CK51" i="1"/>
  <c r="CL51" i="1" l="1"/>
  <c r="BF62" i="1"/>
  <c r="BF63" i="1"/>
  <c r="BH56" i="1"/>
  <c r="BG61" i="1"/>
  <c r="BJ55" i="1"/>
  <c r="BG62" i="1" l="1"/>
  <c r="BG63" i="1"/>
  <c r="BK55" i="1"/>
  <c r="BI56" i="1"/>
  <c r="BH61" i="1"/>
  <c r="CM51" i="1"/>
  <c r="CN51" i="1" l="1"/>
  <c r="BH63" i="1"/>
  <c r="BH62" i="1"/>
  <c r="BJ56" i="1"/>
  <c r="BI61" i="1"/>
  <c r="BL55" i="1"/>
  <c r="BM55" i="1" l="1"/>
  <c r="BI62" i="1"/>
  <c r="BI63" i="1"/>
  <c r="BK56" i="1"/>
  <c r="BJ61" i="1"/>
  <c r="CO51" i="1"/>
  <c r="CP51" i="1" l="1"/>
  <c r="BL56" i="1"/>
  <c r="BK61" i="1"/>
  <c r="BJ62" i="1"/>
  <c r="BJ63" i="1"/>
  <c r="BN55" i="1"/>
  <c r="BO55" i="1" l="1"/>
  <c r="BK62" i="1"/>
  <c r="BK63" i="1"/>
  <c r="BM56" i="1"/>
  <c r="BL61" i="1"/>
  <c r="CQ51" i="1"/>
  <c r="BN56" i="1" l="1"/>
  <c r="BM61" i="1"/>
  <c r="CR51" i="1"/>
  <c r="BL62" i="1"/>
  <c r="BL63" i="1"/>
  <c r="BP55" i="1"/>
  <c r="BQ55" i="1" l="1"/>
  <c r="CS51" i="1"/>
  <c r="BM63" i="1"/>
  <c r="BM62" i="1"/>
  <c r="BO56" i="1"/>
  <c r="BN61" i="1"/>
  <c r="BN62" i="1" l="1"/>
  <c r="BN63" i="1"/>
  <c r="BP56" i="1"/>
  <c r="BO61" i="1"/>
  <c r="CT51" i="1"/>
  <c r="BR55" i="1"/>
  <c r="BQ56" i="1" l="1"/>
  <c r="BP61" i="1"/>
  <c r="BS55" i="1"/>
  <c r="CU51" i="1"/>
  <c r="BO62" i="1"/>
  <c r="BO63" i="1"/>
  <c r="CV51" i="1" l="1"/>
  <c r="BT55" i="1"/>
  <c r="BP62" i="1"/>
  <c r="BP63" i="1"/>
  <c r="BR56" i="1"/>
  <c r="BQ61" i="1"/>
  <c r="BQ62" i="1" l="1"/>
  <c r="BQ63" i="1"/>
  <c r="BU55" i="1"/>
  <c r="BS56" i="1"/>
  <c r="BR61" i="1"/>
  <c r="CW51" i="1"/>
  <c r="BT56" i="1" l="1"/>
  <c r="BS61" i="1"/>
  <c r="CX51" i="1"/>
  <c r="BR62" i="1"/>
  <c r="BR63" i="1"/>
  <c r="BV55" i="1"/>
  <c r="BW55" i="1" l="1"/>
  <c r="CY51" i="1"/>
  <c r="BS62" i="1"/>
  <c r="BS63" i="1"/>
  <c r="BU56" i="1"/>
  <c r="BT61" i="1"/>
  <c r="BV56" i="1" l="1"/>
  <c r="BU61" i="1"/>
  <c r="BT62" i="1"/>
  <c r="BT63" i="1"/>
  <c r="CZ51" i="1"/>
  <c r="BX55" i="1"/>
  <c r="DA51" i="1" l="1"/>
  <c r="BY55" i="1"/>
  <c r="BU62" i="1"/>
  <c r="BU63" i="1"/>
  <c r="BW56" i="1"/>
  <c r="BV61" i="1"/>
  <c r="BV62" i="1" l="1"/>
  <c r="BV63" i="1"/>
  <c r="BX56" i="1"/>
  <c r="BW61" i="1"/>
  <c r="BZ55" i="1"/>
  <c r="DB51" i="1"/>
  <c r="DC51" i="1" l="1"/>
  <c r="BY56" i="1"/>
  <c r="BX61" i="1"/>
  <c r="CA55" i="1"/>
  <c r="BW62" i="1"/>
  <c r="BW63" i="1"/>
  <c r="CB55" i="1" l="1"/>
  <c r="BX62" i="1"/>
  <c r="BX63" i="1"/>
  <c r="BZ56" i="1"/>
  <c r="BY61" i="1"/>
  <c r="DD51" i="1"/>
  <c r="BY63" i="1" l="1"/>
  <c r="BY62" i="1"/>
  <c r="DE51" i="1"/>
  <c r="CA56" i="1"/>
  <c r="BZ61" i="1"/>
  <c r="CC55" i="1"/>
  <c r="CD55" i="1" l="1"/>
  <c r="BZ63" i="1"/>
  <c r="BZ62" i="1"/>
  <c r="CB56" i="1"/>
  <c r="CA61" i="1"/>
  <c r="DF51" i="1"/>
  <c r="DG51" i="1" l="1"/>
  <c r="CC56" i="1"/>
  <c r="CB61" i="1"/>
  <c r="CA62" i="1"/>
  <c r="CA63" i="1"/>
  <c r="CE55" i="1"/>
  <c r="CF55" i="1" l="1"/>
  <c r="CB62" i="1"/>
  <c r="CB63" i="1"/>
  <c r="CD56" i="1"/>
  <c r="CC61" i="1"/>
  <c r="CC62" i="1" l="1"/>
  <c r="CC63" i="1"/>
  <c r="CE56" i="1"/>
  <c r="CD61" i="1"/>
  <c r="CG55" i="1"/>
  <c r="CH55" i="1" l="1"/>
  <c r="CD62" i="1"/>
  <c r="CD63" i="1"/>
  <c r="CF56" i="1"/>
  <c r="CE61" i="1"/>
  <c r="CE62" i="1" l="1"/>
  <c r="CE63" i="1"/>
  <c r="CG56" i="1"/>
  <c r="CF61" i="1"/>
  <c r="CI55" i="1"/>
  <c r="CF62" i="1" l="1"/>
  <c r="CF63" i="1"/>
  <c r="CJ55" i="1"/>
  <c r="CH56" i="1"/>
  <c r="CG61" i="1"/>
  <c r="CG62" i="1" l="1"/>
  <c r="CG63" i="1"/>
  <c r="CI56" i="1"/>
  <c r="CH61" i="1"/>
  <c r="CK55" i="1"/>
  <c r="CL55" i="1" l="1"/>
  <c r="CJ56" i="1"/>
  <c r="CI61" i="1"/>
  <c r="CH62" i="1"/>
  <c r="CH63" i="1"/>
  <c r="CI62" i="1" l="1"/>
  <c r="CI63" i="1"/>
  <c r="CK56" i="1"/>
  <c r="CJ61" i="1"/>
  <c r="CM55" i="1"/>
  <c r="CN55" i="1" l="1"/>
  <c r="CJ62" i="1"/>
  <c r="CJ63" i="1"/>
  <c r="CL56" i="1"/>
  <c r="CK61" i="1"/>
  <c r="CK63" i="1" l="1"/>
  <c r="CK62" i="1"/>
  <c r="CM56" i="1"/>
  <c r="CL61" i="1"/>
  <c r="CO55" i="1"/>
  <c r="CN56" i="1" l="1"/>
  <c r="CM61" i="1"/>
  <c r="CL62" i="1"/>
  <c r="CL63" i="1"/>
  <c r="CP55" i="1"/>
  <c r="CQ55" i="1" l="1"/>
  <c r="CM63" i="1"/>
  <c r="CM62" i="1"/>
  <c r="CO56" i="1"/>
  <c r="CN61" i="1"/>
  <c r="CN62" i="1" l="1"/>
  <c r="CN63" i="1"/>
  <c r="CP56" i="1"/>
  <c r="CO61" i="1"/>
  <c r="CR55" i="1"/>
  <c r="CO63" i="1" l="1"/>
  <c r="CO62" i="1"/>
  <c r="CS55" i="1"/>
  <c r="CQ56" i="1"/>
  <c r="CP61" i="1"/>
  <c r="CP63" i="1" l="1"/>
  <c r="CP62" i="1"/>
  <c r="CR56" i="1"/>
  <c r="CQ61" i="1"/>
  <c r="CT55" i="1"/>
  <c r="CU55" i="1" l="1"/>
  <c r="CQ63" i="1"/>
  <c r="CQ62" i="1"/>
  <c r="CS56" i="1"/>
  <c r="CR61" i="1"/>
  <c r="CR62" i="1" l="1"/>
  <c r="CR63" i="1"/>
  <c r="CT56" i="1"/>
  <c r="CS61" i="1"/>
  <c r="CV55" i="1"/>
  <c r="CU56" i="1" l="1"/>
  <c r="CT61" i="1"/>
  <c r="CW55" i="1"/>
  <c r="CS63" i="1"/>
  <c r="CS62" i="1"/>
  <c r="CX55" i="1" l="1"/>
  <c r="CT62" i="1"/>
  <c r="CT63" i="1"/>
  <c r="CV56" i="1"/>
  <c r="CU61" i="1"/>
  <c r="CU62" i="1" l="1"/>
  <c r="CU63" i="1"/>
  <c r="CW56" i="1"/>
  <c r="CV61" i="1"/>
  <c r="CY55" i="1"/>
  <c r="CZ55" i="1" l="1"/>
  <c r="CV62" i="1"/>
  <c r="CV63" i="1"/>
  <c r="CX56" i="1"/>
  <c r="CW61" i="1"/>
  <c r="CW63" i="1" l="1"/>
  <c r="CW62" i="1"/>
  <c r="CY56" i="1"/>
  <c r="CX61" i="1"/>
  <c r="DA55" i="1"/>
  <c r="CX62" i="1" l="1"/>
  <c r="CX63" i="1"/>
  <c r="DB55" i="1"/>
  <c r="CZ56" i="1"/>
  <c r="CY61" i="1"/>
  <c r="DA56" i="1" l="1"/>
  <c r="CZ61" i="1"/>
  <c r="CY63" i="1"/>
  <c r="CY62" i="1"/>
  <c r="DC55" i="1"/>
  <c r="DD55" i="1" l="1"/>
  <c r="CZ62" i="1"/>
  <c r="CZ63" i="1"/>
  <c r="DB56" i="1"/>
  <c r="DA61" i="1"/>
  <c r="DA63" i="1" l="1"/>
  <c r="DA62" i="1"/>
  <c r="DC56" i="1"/>
  <c r="DB61" i="1"/>
  <c r="DE55" i="1"/>
  <c r="DB62" i="1" l="1"/>
  <c r="DB63" i="1"/>
  <c r="DF55" i="1"/>
  <c r="DD56" i="1"/>
  <c r="DC61" i="1"/>
  <c r="DE56" i="1" l="1"/>
  <c r="DD61" i="1"/>
  <c r="DC62" i="1"/>
  <c r="DC63" i="1"/>
  <c r="DG55" i="1"/>
  <c r="DD63" i="1" l="1"/>
  <c r="DD62" i="1"/>
  <c r="DF56" i="1"/>
  <c r="DE61" i="1"/>
  <c r="DE63" i="1" l="1"/>
  <c r="DE62" i="1"/>
  <c r="DG56" i="1"/>
  <c r="DG61" i="1" s="1"/>
  <c r="DF61" i="1"/>
  <c r="DF63" i="1" l="1"/>
  <c r="DF62" i="1"/>
  <c r="DG63" i="1"/>
  <c r="DG62" i="1"/>
</calcChain>
</file>

<file path=xl/sharedStrings.xml><?xml version="1.0" encoding="utf-8"?>
<sst xmlns="http://schemas.openxmlformats.org/spreadsheetml/2006/main" count="47" uniqueCount="36">
  <si>
    <t>Call</t>
  </si>
  <si>
    <t>Put</t>
  </si>
  <si>
    <t>Strike</t>
  </si>
  <si>
    <t>Spot</t>
  </si>
  <si>
    <t>r</t>
  </si>
  <si>
    <t>d1</t>
  </si>
  <si>
    <t>N(d1)</t>
  </si>
  <si>
    <t>d2</t>
  </si>
  <si>
    <t>N(d2)</t>
  </si>
  <si>
    <t>T</t>
  </si>
  <si>
    <t>t</t>
  </si>
  <si>
    <t>V(S,T)</t>
  </si>
  <si>
    <t>Price</t>
  </si>
  <si>
    <t>Close</t>
  </si>
  <si>
    <t>Ticker</t>
  </si>
  <si>
    <t>AAPL</t>
  </si>
  <si>
    <t>rendimientos</t>
  </si>
  <si>
    <t>Date</t>
  </si>
  <si>
    <t>Promedio</t>
  </si>
  <si>
    <t>volatilidad</t>
  </si>
  <si>
    <t>diario</t>
  </si>
  <si>
    <t>semanal</t>
  </si>
  <si>
    <t>W(t)</t>
  </si>
  <si>
    <t>dt</t>
  </si>
  <si>
    <t>dW(t)</t>
  </si>
  <si>
    <t>Valor esperado</t>
  </si>
  <si>
    <t>LS</t>
  </si>
  <si>
    <t>LI</t>
  </si>
  <si>
    <t>Back Testing</t>
  </si>
  <si>
    <t>Rolling window</t>
  </si>
  <si>
    <t>Simulaciones</t>
  </si>
  <si>
    <t>Valor Esperado</t>
  </si>
  <si>
    <t>Error</t>
  </si>
  <si>
    <t>Error2</t>
  </si>
  <si>
    <t>mape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</si>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</sst>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yyyy\-mm\-dd\ hh:mm:ss"/>
    <numFmt numFmtId="166" formatCode="0.0000%"/>
  </numFmts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6" fontId="0" fillId="0" borderId="0" xfId="2" applyNumberFormat="1" applyFont="1"/>
    <xf numFmtId="14" fontId="0" fillId="0" borderId="0" xfId="0" applyNumberFormat="1"/>
    <xf numFmtId="164" fontId="0" fillId="0" borderId="0" xfId="1" applyFont="1"/>
    <xf numFmtId="164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sharedStrings" Target="sharedStrings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chartsheet" Target="chartsheets/sheet2.xml"/><Relationship Id="rId16" Type="http://schemas.openxmlformats.org/officeDocument/2006/relationships/customXml" Target="../customXml/item2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theme" Target="theme/theme1.xml"/><Relationship Id="rId5" Type="http://schemas.openxmlformats.org/officeDocument/2006/relationships/chartsheet" Target="chart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3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GBM!$K$10:$DG$10</c:f>
              <c:numCache>
                <c:formatCode>General</c:formatCode>
                <c:ptCount val="101"/>
                <c:pt idx="0">
                  <c:v>0</c:v>
                </c:pt>
                <c:pt idx="1">
                  <c:v>0.4506839527177135</c:v>
                </c:pt>
                <c:pt idx="2">
                  <c:v>-0.11609266878911934</c:v>
                </c:pt>
                <c:pt idx="3">
                  <c:v>-0.51523001662373613</c:v>
                </c:pt>
                <c:pt idx="4">
                  <c:v>8.4953463176081323E-2</c:v>
                </c:pt>
                <c:pt idx="5">
                  <c:v>0.73875270073633492</c:v>
                </c:pt>
                <c:pt idx="6">
                  <c:v>2.6784353906915102</c:v>
                </c:pt>
                <c:pt idx="7">
                  <c:v>1.9117077782645209</c:v>
                </c:pt>
                <c:pt idx="8">
                  <c:v>0.88742117002897181</c:v>
                </c:pt>
                <c:pt idx="9">
                  <c:v>2.7154192030567037</c:v>
                </c:pt>
                <c:pt idx="10">
                  <c:v>1.9706356686917998</c:v>
                </c:pt>
                <c:pt idx="11">
                  <c:v>2.9807460398351906</c:v>
                </c:pt>
                <c:pt idx="12">
                  <c:v>4.084361443383357</c:v>
                </c:pt>
                <c:pt idx="13">
                  <c:v>5.4953499623924751</c:v>
                </c:pt>
                <c:pt idx="14">
                  <c:v>5.564186292475469</c:v>
                </c:pt>
                <c:pt idx="15">
                  <c:v>6.239609289199878</c:v>
                </c:pt>
                <c:pt idx="16">
                  <c:v>5.5454009089845435</c:v>
                </c:pt>
                <c:pt idx="17">
                  <c:v>6.4589679815794403</c:v>
                </c:pt>
                <c:pt idx="18">
                  <c:v>6.4187252481572621</c:v>
                </c:pt>
                <c:pt idx="19">
                  <c:v>5.9314473177541061</c:v>
                </c:pt>
                <c:pt idx="20">
                  <c:v>5.8941990708686918</c:v>
                </c:pt>
                <c:pt idx="21">
                  <c:v>5.7095836365011028</c:v>
                </c:pt>
                <c:pt idx="22">
                  <c:v>5.3802157660434355</c:v>
                </c:pt>
                <c:pt idx="23">
                  <c:v>4.8461397679584479</c:v>
                </c:pt>
                <c:pt idx="24">
                  <c:v>6.2541225266740952</c:v>
                </c:pt>
                <c:pt idx="25">
                  <c:v>5.6798294443697959</c:v>
                </c:pt>
                <c:pt idx="26">
                  <c:v>6.1857166432715687</c:v>
                </c:pt>
                <c:pt idx="27">
                  <c:v>6.1374370509843423</c:v>
                </c:pt>
                <c:pt idx="28">
                  <c:v>4.9833198461885875</c:v>
                </c:pt>
                <c:pt idx="29">
                  <c:v>5.3529835080583918</c:v>
                </c:pt>
                <c:pt idx="30">
                  <c:v>5.4687530474245074</c:v>
                </c:pt>
                <c:pt idx="31">
                  <c:v>6.226561373232169</c:v>
                </c:pt>
                <c:pt idx="32">
                  <c:v>7.23837582181012</c:v>
                </c:pt>
                <c:pt idx="33">
                  <c:v>6.6429917026452285</c:v>
                </c:pt>
                <c:pt idx="34">
                  <c:v>8.0827800108726304</c:v>
                </c:pt>
                <c:pt idx="35">
                  <c:v>8.2553134834824089</c:v>
                </c:pt>
                <c:pt idx="36">
                  <c:v>6.5011778860747524</c:v>
                </c:pt>
                <c:pt idx="37">
                  <c:v>6.5303175663692272</c:v>
                </c:pt>
                <c:pt idx="38">
                  <c:v>6.5593489898342279</c:v>
                </c:pt>
                <c:pt idx="39">
                  <c:v>6.7666731309084334</c:v>
                </c:pt>
                <c:pt idx="40">
                  <c:v>5.9746519689863771</c:v>
                </c:pt>
                <c:pt idx="41">
                  <c:v>6.1794675644485739</c:v>
                </c:pt>
                <c:pt idx="42">
                  <c:v>4.8700648402659006</c:v>
                </c:pt>
                <c:pt idx="43">
                  <c:v>4.6743138325331186</c:v>
                </c:pt>
                <c:pt idx="44">
                  <c:v>5.6118992364088305</c:v>
                </c:pt>
                <c:pt idx="45">
                  <c:v>5.904749701058698</c:v>
                </c:pt>
                <c:pt idx="46">
                  <c:v>5.3256509928403544</c:v>
                </c:pt>
                <c:pt idx="47">
                  <c:v>2.9836205694709492</c:v>
                </c:pt>
                <c:pt idx="48">
                  <c:v>3.7971897893978857</c:v>
                </c:pt>
                <c:pt idx="49">
                  <c:v>2.7537138828485133</c:v>
                </c:pt>
                <c:pt idx="50">
                  <c:v>2.7425899957576139</c:v>
                </c:pt>
                <c:pt idx="51">
                  <c:v>2.7545408182643247</c:v>
                </c:pt>
                <c:pt idx="52">
                  <c:v>2.1058440245159078</c:v>
                </c:pt>
                <c:pt idx="53">
                  <c:v>1.1406441326390317</c:v>
                </c:pt>
                <c:pt idx="54">
                  <c:v>0.55520094034755296</c:v>
                </c:pt>
                <c:pt idx="55">
                  <c:v>1.3354938466482218</c:v>
                </c:pt>
                <c:pt idx="56">
                  <c:v>0.41346709162683415</c:v>
                </c:pt>
                <c:pt idx="57">
                  <c:v>0.83967377778939856</c:v>
                </c:pt>
                <c:pt idx="58">
                  <c:v>-0.5765035199160522</c:v>
                </c:pt>
                <c:pt idx="59">
                  <c:v>-0.10340288474338694</c:v>
                </c:pt>
                <c:pt idx="60">
                  <c:v>0.82334733164925988</c:v>
                </c:pt>
                <c:pt idx="61">
                  <c:v>2.0379799718065907</c:v>
                </c:pt>
                <c:pt idx="62">
                  <c:v>1.1340890654985261</c:v>
                </c:pt>
                <c:pt idx="63">
                  <c:v>0.19157178560795596</c:v>
                </c:pt>
                <c:pt idx="64">
                  <c:v>1.711197848109933</c:v>
                </c:pt>
                <c:pt idx="65">
                  <c:v>0.86367389850606502</c:v>
                </c:pt>
                <c:pt idx="66">
                  <c:v>1.3788195239606242</c:v>
                </c:pt>
                <c:pt idx="67">
                  <c:v>1.0484293980752681</c:v>
                </c:pt>
                <c:pt idx="68">
                  <c:v>2.5546658412286884</c:v>
                </c:pt>
                <c:pt idx="69">
                  <c:v>3.0820109854902604</c:v>
                </c:pt>
                <c:pt idx="70">
                  <c:v>3.6358871860125634</c:v>
                </c:pt>
                <c:pt idx="71">
                  <c:v>3.6841706121575672</c:v>
                </c:pt>
                <c:pt idx="72">
                  <c:v>3.7194313456964574</c:v>
                </c:pt>
                <c:pt idx="73">
                  <c:v>4.6514587830188283</c:v>
                </c:pt>
                <c:pt idx="74">
                  <c:v>4.3698966588246151</c:v>
                </c:pt>
                <c:pt idx="75">
                  <c:v>5.2607504594299357</c:v>
                </c:pt>
                <c:pt idx="76">
                  <c:v>5.5128261555528972</c:v>
                </c:pt>
                <c:pt idx="77">
                  <c:v>6.6446221108570569</c:v>
                </c:pt>
                <c:pt idx="78">
                  <c:v>7.4982268690940872</c:v>
                </c:pt>
                <c:pt idx="79">
                  <c:v>8.3858074520945127</c:v>
                </c:pt>
                <c:pt idx="80">
                  <c:v>6.7102074585784903</c:v>
                </c:pt>
                <c:pt idx="81">
                  <c:v>4.6240797908648483</c:v>
                </c:pt>
                <c:pt idx="82">
                  <c:v>5.3083144188570186</c:v>
                </c:pt>
                <c:pt idx="83">
                  <c:v>4.3121213160780876</c:v>
                </c:pt>
                <c:pt idx="84">
                  <c:v>3.7038177218897288</c:v>
                </c:pt>
                <c:pt idx="85">
                  <c:v>4.2488241686438899</c:v>
                </c:pt>
                <c:pt idx="86">
                  <c:v>4.4635240165099592</c:v>
                </c:pt>
                <c:pt idx="87">
                  <c:v>4.2331948057097026</c:v>
                </c:pt>
                <c:pt idx="88">
                  <c:v>4.4359602810844931</c:v>
                </c:pt>
                <c:pt idx="89">
                  <c:v>3.6797067274506783</c:v>
                </c:pt>
                <c:pt idx="90">
                  <c:v>1.9319171362621474</c:v>
                </c:pt>
                <c:pt idx="91">
                  <c:v>3.2829877666951131</c:v>
                </c:pt>
                <c:pt idx="92">
                  <c:v>2.6630335206755893</c:v>
                </c:pt>
                <c:pt idx="93">
                  <c:v>0.69731256526903795</c:v>
                </c:pt>
                <c:pt idx="94">
                  <c:v>1.3728490113861933</c:v>
                </c:pt>
                <c:pt idx="95">
                  <c:v>0.95690409957583689</c:v>
                </c:pt>
                <c:pt idx="96">
                  <c:v>2.1419604235236402</c:v>
                </c:pt>
                <c:pt idx="97">
                  <c:v>1.0127808233601614</c:v>
                </c:pt>
                <c:pt idx="98">
                  <c:v>-5.2457179300393619E-3</c:v>
                </c:pt>
                <c:pt idx="99">
                  <c:v>-0.1116063445758233</c:v>
                </c:pt>
                <c:pt idx="100">
                  <c:v>-2.1953002443910634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1D-495B-9ACA-D470FEDF6C2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GBM!$K$11:$DG$11</c:f>
              <c:numCache>
                <c:formatCode>General</c:formatCode>
                <c:ptCount val="101"/>
                <c:pt idx="0">
                  <c:v>0</c:v>
                </c:pt>
                <c:pt idx="1">
                  <c:v>-2.5877141456467538</c:v>
                </c:pt>
                <c:pt idx="2">
                  <c:v>-2.2130183482723416</c:v>
                </c:pt>
                <c:pt idx="3">
                  <c:v>-0.96561131243508713</c:v>
                </c:pt>
                <c:pt idx="4">
                  <c:v>-4.1073145664232875</c:v>
                </c:pt>
                <c:pt idx="5">
                  <c:v>-5.9302215827793709</c:v>
                </c:pt>
                <c:pt idx="6">
                  <c:v>-6.1819454151450461</c:v>
                </c:pt>
                <c:pt idx="7">
                  <c:v>-6.6392358482208396</c:v>
                </c:pt>
                <c:pt idx="8">
                  <c:v>-7.2269521733282165</c:v>
                </c:pt>
                <c:pt idx="9">
                  <c:v>-8.656630504462953</c:v>
                </c:pt>
                <c:pt idx="10">
                  <c:v>-9.4189274425870586</c:v>
                </c:pt>
                <c:pt idx="11">
                  <c:v>-11.074525624852749</c:v>
                </c:pt>
                <c:pt idx="12">
                  <c:v>-10.484886381322372</c:v>
                </c:pt>
                <c:pt idx="13">
                  <c:v>-12.198414284574129</c:v>
                </c:pt>
                <c:pt idx="14">
                  <c:v>-12.404786277937648</c:v>
                </c:pt>
                <c:pt idx="15">
                  <c:v>-11.774874425270946</c:v>
                </c:pt>
                <c:pt idx="16">
                  <c:v>-10.437716702907126</c:v>
                </c:pt>
                <c:pt idx="17">
                  <c:v>-10.589331280120254</c:v>
                </c:pt>
                <c:pt idx="18">
                  <c:v>-9.5543279391226328</c:v>
                </c:pt>
                <c:pt idx="19">
                  <c:v>-9.3410663801191003</c:v>
                </c:pt>
                <c:pt idx="20">
                  <c:v>-8.6526324171267426</c:v>
                </c:pt>
                <c:pt idx="21">
                  <c:v>-8.3692379364265665</c:v>
                </c:pt>
                <c:pt idx="22">
                  <c:v>-6.6549946348180971</c:v>
                </c:pt>
                <c:pt idx="23">
                  <c:v>-6.3290796026260585</c:v>
                </c:pt>
                <c:pt idx="24">
                  <c:v>-7.7714643736172597</c:v>
                </c:pt>
                <c:pt idx="25">
                  <c:v>-6.6907309400433439</c:v>
                </c:pt>
                <c:pt idx="26">
                  <c:v>-7.1296028046056161</c:v>
                </c:pt>
                <c:pt idx="27">
                  <c:v>-8.984384821339706</c:v>
                </c:pt>
                <c:pt idx="28">
                  <c:v>-9.0596663269952558</c:v>
                </c:pt>
                <c:pt idx="29">
                  <c:v>-9.0290785504399409</c:v>
                </c:pt>
                <c:pt idx="30">
                  <c:v>-8.9217532567897067</c:v>
                </c:pt>
                <c:pt idx="31">
                  <c:v>-8.0028886260688097</c:v>
                </c:pt>
                <c:pt idx="32">
                  <c:v>-9.1402012630475475</c:v>
                </c:pt>
                <c:pt idx="33">
                  <c:v>-9.7812381816499148</c:v>
                </c:pt>
                <c:pt idx="34">
                  <c:v>-10.495564693055774</c:v>
                </c:pt>
                <c:pt idx="35">
                  <c:v>-10.833846985464406</c:v>
                </c:pt>
                <c:pt idx="36">
                  <c:v>-11.784827253596783</c:v>
                </c:pt>
                <c:pt idx="37">
                  <c:v>-12.150771761973498</c:v>
                </c:pt>
                <c:pt idx="38">
                  <c:v>-13.524351197813582</c:v>
                </c:pt>
                <c:pt idx="39">
                  <c:v>-15.472869238524346</c:v>
                </c:pt>
                <c:pt idx="40">
                  <c:v>-16.880022494948427</c:v>
                </c:pt>
                <c:pt idx="41">
                  <c:v>-16.672757039278032</c:v>
                </c:pt>
                <c:pt idx="42">
                  <c:v>-15.630851161416391</c:v>
                </c:pt>
                <c:pt idx="43">
                  <c:v>-14.788078508457319</c:v>
                </c:pt>
                <c:pt idx="44">
                  <c:v>-15.886373962721159</c:v>
                </c:pt>
                <c:pt idx="45">
                  <c:v>-16.254689022903985</c:v>
                </c:pt>
                <c:pt idx="46">
                  <c:v>-15.807372711683943</c:v>
                </c:pt>
                <c:pt idx="47">
                  <c:v>-16.225128455941729</c:v>
                </c:pt>
                <c:pt idx="48">
                  <c:v>-17.650826080394221</c:v>
                </c:pt>
                <c:pt idx="49">
                  <c:v>-19.009351192651692</c:v>
                </c:pt>
                <c:pt idx="50">
                  <c:v>-19.920009540503141</c:v>
                </c:pt>
                <c:pt idx="51">
                  <c:v>-20.807297991634847</c:v>
                </c:pt>
                <c:pt idx="52">
                  <c:v>-23.136426139133736</c:v>
                </c:pt>
                <c:pt idx="53">
                  <c:v>-22.698177550832124</c:v>
                </c:pt>
                <c:pt idx="54">
                  <c:v>-22.340561781499975</c:v>
                </c:pt>
                <c:pt idx="55">
                  <c:v>-22.377181662504981</c:v>
                </c:pt>
                <c:pt idx="56">
                  <c:v>-21.960550810457317</c:v>
                </c:pt>
                <c:pt idx="57">
                  <c:v>-22.078633159869064</c:v>
                </c:pt>
                <c:pt idx="58">
                  <c:v>-20.749465856643056</c:v>
                </c:pt>
                <c:pt idx="59">
                  <c:v>-20.15061461278939</c:v>
                </c:pt>
                <c:pt idx="60">
                  <c:v>-22.8447265176735</c:v>
                </c:pt>
                <c:pt idx="61">
                  <c:v>-22.486894803685114</c:v>
                </c:pt>
                <c:pt idx="62">
                  <c:v>-21.800476924288564</c:v>
                </c:pt>
                <c:pt idx="63">
                  <c:v>-23.131511982136644</c:v>
                </c:pt>
                <c:pt idx="64">
                  <c:v>-23.495998345208079</c:v>
                </c:pt>
                <c:pt idx="65">
                  <c:v>-24.332655048623959</c:v>
                </c:pt>
                <c:pt idx="66">
                  <c:v>-22.505047066685158</c:v>
                </c:pt>
                <c:pt idx="67">
                  <c:v>-21.729822425193049</c:v>
                </c:pt>
                <c:pt idx="68">
                  <c:v>-21.328023119811125</c:v>
                </c:pt>
                <c:pt idx="69">
                  <c:v>-22.437660661886358</c:v>
                </c:pt>
                <c:pt idx="70">
                  <c:v>-22.078439075535481</c:v>
                </c:pt>
                <c:pt idx="71">
                  <c:v>-23.489063776001874</c:v>
                </c:pt>
                <c:pt idx="72">
                  <c:v>-24.571598001903034</c:v>
                </c:pt>
                <c:pt idx="73">
                  <c:v>-23.839313823341595</c:v>
                </c:pt>
                <c:pt idx="74">
                  <c:v>-22.742472009012442</c:v>
                </c:pt>
                <c:pt idx="75">
                  <c:v>-22.035189168441374</c:v>
                </c:pt>
                <c:pt idx="76">
                  <c:v>-21.834898024160218</c:v>
                </c:pt>
                <c:pt idx="77">
                  <c:v>-21.359712497189907</c:v>
                </c:pt>
                <c:pt idx="78">
                  <c:v>-21.938269276491642</c:v>
                </c:pt>
                <c:pt idx="79">
                  <c:v>-22.300116562135788</c:v>
                </c:pt>
                <c:pt idx="80">
                  <c:v>-21.48529716023009</c:v>
                </c:pt>
                <c:pt idx="81">
                  <c:v>-22.037055869856196</c:v>
                </c:pt>
                <c:pt idx="82">
                  <c:v>-20.330731553263789</c:v>
                </c:pt>
                <c:pt idx="83">
                  <c:v>-20.325417297252436</c:v>
                </c:pt>
                <c:pt idx="84">
                  <c:v>-19.983882564452895</c:v>
                </c:pt>
                <c:pt idx="85">
                  <c:v>-18.962301764291748</c:v>
                </c:pt>
                <c:pt idx="86">
                  <c:v>-18.945966158057228</c:v>
                </c:pt>
                <c:pt idx="87">
                  <c:v>-18.417364235319631</c:v>
                </c:pt>
                <c:pt idx="88">
                  <c:v>-20.013249914947998</c:v>
                </c:pt>
                <c:pt idx="89">
                  <c:v>-21.107755393323789</c:v>
                </c:pt>
                <c:pt idx="90">
                  <c:v>-21.206837867391123</c:v>
                </c:pt>
                <c:pt idx="91">
                  <c:v>-21.820110408257481</c:v>
                </c:pt>
                <c:pt idx="92">
                  <c:v>-20.810310273488433</c:v>
                </c:pt>
                <c:pt idx="93">
                  <c:v>-22.740371219388145</c:v>
                </c:pt>
                <c:pt idx="94">
                  <c:v>-23.367331752605839</c:v>
                </c:pt>
                <c:pt idx="95">
                  <c:v>-23.799331210879384</c:v>
                </c:pt>
                <c:pt idx="96">
                  <c:v>-23.793059943046327</c:v>
                </c:pt>
                <c:pt idx="97">
                  <c:v>-22.01718370306423</c:v>
                </c:pt>
                <c:pt idx="98">
                  <c:v>-23.294034975963935</c:v>
                </c:pt>
                <c:pt idx="99">
                  <c:v>-22.342185487184182</c:v>
                </c:pt>
                <c:pt idx="100">
                  <c:v>-23.51282099765449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1D-495B-9ACA-D470FEDF6C2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GBM!$K$12:$DG$12</c:f>
              <c:numCache>
                <c:formatCode>General</c:formatCode>
                <c:ptCount val="101"/>
                <c:pt idx="0">
                  <c:v>0</c:v>
                </c:pt>
                <c:pt idx="1">
                  <c:v>-6.2587033944775702E-2</c:v>
                </c:pt>
                <c:pt idx="2">
                  <c:v>-0.30996355880638865</c:v>
                </c:pt>
                <c:pt idx="3">
                  <c:v>0.34883123050828907</c:v>
                </c:pt>
                <c:pt idx="4">
                  <c:v>0.33959127878257317</c:v>
                </c:pt>
                <c:pt idx="5">
                  <c:v>-0.87393764958994069</c:v>
                </c:pt>
                <c:pt idx="6">
                  <c:v>-1.5998237342100001</c:v>
                </c:pt>
                <c:pt idx="7">
                  <c:v>-0.76226765486153047</c:v>
                </c:pt>
                <c:pt idx="8">
                  <c:v>-1.2742714774728592</c:v>
                </c:pt>
                <c:pt idx="9">
                  <c:v>-2.5118586945559302</c:v>
                </c:pt>
                <c:pt idx="10">
                  <c:v>-2.9311763095639725</c:v>
                </c:pt>
                <c:pt idx="11">
                  <c:v>-2.8514105978059234</c:v>
                </c:pt>
                <c:pt idx="12">
                  <c:v>-4.5610697788909622</c:v>
                </c:pt>
                <c:pt idx="13">
                  <c:v>-4.195559031955387</c:v>
                </c:pt>
                <c:pt idx="14">
                  <c:v>-5.4150658289212217</c:v>
                </c:pt>
                <c:pt idx="15">
                  <c:v>-4.2943770746060155</c:v>
                </c:pt>
                <c:pt idx="16">
                  <c:v>-4.2458190615463449</c:v>
                </c:pt>
                <c:pt idx="17">
                  <c:v>-3.7801618883009405</c:v>
                </c:pt>
                <c:pt idx="18">
                  <c:v>-3.701797588291027</c:v>
                </c:pt>
                <c:pt idx="19">
                  <c:v>-3.334011984628805</c:v>
                </c:pt>
                <c:pt idx="20">
                  <c:v>-2.4045635071966203</c:v>
                </c:pt>
                <c:pt idx="21">
                  <c:v>-2.4984271874454129</c:v>
                </c:pt>
                <c:pt idx="22">
                  <c:v>-2.6881233810227343</c:v>
                </c:pt>
                <c:pt idx="23">
                  <c:v>-4.4742551160019346</c:v>
                </c:pt>
                <c:pt idx="24">
                  <c:v>-3.6757200816703826</c:v>
                </c:pt>
                <c:pt idx="25">
                  <c:v>-4.1862540793473419</c:v>
                </c:pt>
                <c:pt idx="26">
                  <c:v>-3.6338998933870812</c:v>
                </c:pt>
                <c:pt idx="27">
                  <c:v>-5.4352393455516239</c:v>
                </c:pt>
                <c:pt idx="28">
                  <c:v>-3.7833131612688828</c:v>
                </c:pt>
                <c:pt idx="29">
                  <c:v>-2.9877917355402976</c:v>
                </c:pt>
                <c:pt idx="30">
                  <c:v>-2.4356222879559741</c:v>
                </c:pt>
                <c:pt idx="31">
                  <c:v>-1.5604253688111642</c:v>
                </c:pt>
                <c:pt idx="32">
                  <c:v>-2.3396091349237551</c:v>
                </c:pt>
                <c:pt idx="33">
                  <c:v>-3.2030243345991289</c:v>
                </c:pt>
                <c:pt idx="34">
                  <c:v>-3.6374704996971965</c:v>
                </c:pt>
                <c:pt idx="35">
                  <c:v>-3.8023844807985969</c:v>
                </c:pt>
                <c:pt idx="36">
                  <c:v>-4.4030876224168107</c:v>
                </c:pt>
                <c:pt idx="37">
                  <c:v>-6.3166418671496745</c:v>
                </c:pt>
                <c:pt idx="38">
                  <c:v>-6.1644525377905035</c:v>
                </c:pt>
                <c:pt idx="39">
                  <c:v>-5.5375385317227543</c:v>
                </c:pt>
                <c:pt idx="40">
                  <c:v>-5.4579210197404624</c:v>
                </c:pt>
                <c:pt idx="41">
                  <c:v>-6.907728382694672</c:v>
                </c:pt>
                <c:pt idx="42">
                  <c:v>-8.3540485870511603</c:v>
                </c:pt>
                <c:pt idx="43">
                  <c:v>-8.8596521929404393</c:v>
                </c:pt>
                <c:pt idx="44">
                  <c:v>-7.3421144010446984</c:v>
                </c:pt>
                <c:pt idx="45">
                  <c:v>-6.5107905345628714</c:v>
                </c:pt>
                <c:pt idx="46">
                  <c:v>-5.9311328239591656</c:v>
                </c:pt>
                <c:pt idx="47">
                  <c:v>-4.6641227273728951</c:v>
                </c:pt>
                <c:pt idx="48">
                  <c:v>-4.2459795010566435</c:v>
                </c:pt>
                <c:pt idx="49">
                  <c:v>-4.1720458485316207</c:v>
                </c:pt>
                <c:pt idx="50">
                  <c:v>-5.5273585516959631</c:v>
                </c:pt>
                <c:pt idx="51">
                  <c:v>-6.5786996266933322</c:v>
                </c:pt>
                <c:pt idx="52">
                  <c:v>-6.7930005969329299</c:v>
                </c:pt>
                <c:pt idx="53">
                  <c:v>-6.7762260822421911</c:v>
                </c:pt>
                <c:pt idx="54">
                  <c:v>-7.8982936213555277</c:v>
                </c:pt>
                <c:pt idx="55">
                  <c:v>-8.6473594948469401</c:v>
                </c:pt>
                <c:pt idx="56">
                  <c:v>-7.4767134582758628</c:v>
                </c:pt>
                <c:pt idx="57">
                  <c:v>-7.2311245863345954</c:v>
                </c:pt>
                <c:pt idx="58">
                  <c:v>-8.8803710940768479</c:v>
                </c:pt>
                <c:pt idx="59">
                  <c:v>-9.4415780163659839</c:v>
                </c:pt>
                <c:pt idx="60">
                  <c:v>-8.9930894785156656</c:v>
                </c:pt>
                <c:pt idx="61">
                  <c:v>-8.3701540328829296</c:v>
                </c:pt>
                <c:pt idx="62">
                  <c:v>-8.174635418832338</c:v>
                </c:pt>
                <c:pt idx="63">
                  <c:v>-9.6589653338557628</c:v>
                </c:pt>
                <c:pt idx="64">
                  <c:v>-9.5041954004251412</c:v>
                </c:pt>
                <c:pt idx="65">
                  <c:v>-11.649365428579742</c:v>
                </c:pt>
                <c:pt idx="66">
                  <c:v>-14.23680585396745</c:v>
                </c:pt>
                <c:pt idx="67">
                  <c:v>-14.801137054985519</c:v>
                </c:pt>
                <c:pt idx="68">
                  <c:v>-13.767036768162672</c:v>
                </c:pt>
                <c:pt idx="69">
                  <c:v>-13.602641203482415</c:v>
                </c:pt>
                <c:pt idx="70">
                  <c:v>-13.890636145034653</c:v>
                </c:pt>
                <c:pt idx="71">
                  <c:v>-13.360807492516326</c:v>
                </c:pt>
                <c:pt idx="72">
                  <c:v>-12.950782509772033</c:v>
                </c:pt>
                <c:pt idx="73">
                  <c:v>-12.353967995211947</c:v>
                </c:pt>
                <c:pt idx="74">
                  <c:v>-12.542046375434715</c:v>
                </c:pt>
                <c:pt idx="75">
                  <c:v>-12.441197963955027</c:v>
                </c:pt>
                <c:pt idx="76">
                  <c:v>-12.284346067425883</c:v>
                </c:pt>
                <c:pt idx="77">
                  <c:v>-10.992315628976392</c:v>
                </c:pt>
                <c:pt idx="78">
                  <c:v>-11.228430652884105</c:v>
                </c:pt>
                <c:pt idx="79">
                  <c:v>-11.832217030099791</c:v>
                </c:pt>
                <c:pt idx="80">
                  <c:v>-10.261372697039077</c:v>
                </c:pt>
                <c:pt idx="81">
                  <c:v>-12.571797241106401</c:v>
                </c:pt>
                <c:pt idx="82">
                  <c:v>-12.726505131860401</c:v>
                </c:pt>
                <c:pt idx="83">
                  <c:v>-13.413897371177246</c:v>
                </c:pt>
                <c:pt idx="84">
                  <c:v>-14.567258620483136</c:v>
                </c:pt>
                <c:pt idx="85">
                  <c:v>-13.601957382581883</c:v>
                </c:pt>
                <c:pt idx="86">
                  <c:v>-13.826313073471541</c:v>
                </c:pt>
                <c:pt idx="87">
                  <c:v>-12.858362763906538</c:v>
                </c:pt>
                <c:pt idx="88">
                  <c:v>-12.975219718869388</c:v>
                </c:pt>
                <c:pt idx="89">
                  <c:v>-13.864675121877859</c:v>
                </c:pt>
                <c:pt idx="90">
                  <c:v>-16.753075400067566</c:v>
                </c:pt>
                <c:pt idx="91">
                  <c:v>-16.788459558294349</c:v>
                </c:pt>
                <c:pt idx="92">
                  <c:v>-15.967513041633453</c:v>
                </c:pt>
                <c:pt idx="93">
                  <c:v>-16.155561324078118</c:v>
                </c:pt>
                <c:pt idx="94">
                  <c:v>-14.052610891680342</c:v>
                </c:pt>
                <c:pt idx="95">
                  <c:v>-13.758855253110635</c:v>
                </c:pt>
                <c:pt idx="96">
                  <c:v>-13.873364999102186</c:v>
                </c:pt>
                <c:pt idx="97">
                  <c:v>-13.229649698830455</c:v>
                </c:pt>
                <c:pt idx="98">
                  <c:v>-12.616965197038125</c:v>
                </c:pt>
                <c:pt idx="99">
                  <c:v>-12.274246750736136</c:v>
                </c:pt>
                <c:pt idx="100">
                  <c:v>-10.681113582558609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1D-495B-9ACA-D470FEDF6C29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GBM!$K$13:$DG$13</c:f>
              <c:numCache>
                <c:formatCode>General</c:formatCode>
                <c:ptCount val="101"/>
                <c:pt idx="0">
                  <c:v>0</c:v>
                </c:pt>
                <c:pt idx="1">
                  <c:v>1.77172721759542</c:v>
                </c:pt>
                <c:pt idx="2">
                  <c:v>3.0501932945022339</c:v>
                </c:pt>
                <c:pt idx="3">
                  <c:v>3.6538631196033422</c:v>
                </c:pt>
                <c:pt idx="4">
                  <c:v>2.5763737843659893</c:v>
                </c:pt>
                <c:pt idx="5">
                  <c:v>5.518472872116873</c:v>
                </c:pt>
                <c:pt idx="6">
                  <c:v>6.4857194184889764</c:v>
                </c:pt>
                <c:pt idx="7">
                  <c:v>7.0542462553970555</c:v>
                </c:pt>
                <c:pt idx="8">
                  <c:v>5.6217303768018239</c:v>
                </c:pt>
                <c:pt idx="9">
                  <c:v>5.6189878098151613</c:v>
                </c:pt>
                <c:pt idx="10">
                  <c:v>5.6478775447551479</c:v>
                </c:pt>
                <c:pt idx="11">
                  <c:v>5.2500591997336041</c:v>
                </c:pt>
                <c:pt idx="12">
                  <c:v>4.2628929234576312</c:v>
                </c:pt>
                <c:pt idx="13">
                  <c:v>4.6441397809556237</c:v>
                </c:pt>
                <c:pt idx="14">
                  <c:v>4.1022136775027516</c:v>
                </c:pt>
                <c:pt idx="15">
                  <c:v>1.9351793980284429</c:v>
                </c:pt>
                <c:pt idx="16">
                  <c:v>0.14542159565477486</c:v>
                </c:pt>
                <c:pt idx="17">
                  <c:v>0.38802860413524071</c:v>
                </c:pt>
                <c:pt idx="18">
                  <c:v>-2.1504795934997807</c:v>
                </c:pt>
                <c:pt idx="19">
                  <c:v>-2.2717871401774943</c:v>
                </c:pt>
                <c:pt idx="20">
                  <c:v>-1.2248075278370261</c:v>
                </c:pt>
                <c:pt idx="21">
                  <c:v>-1.0729971882292499</c:v>
                </c:pt>
                <c:pt idx="22">
                  <c:v>-1.1229495543811137</c:v>
                </c:pt>
                <c:pt idx="23">
                  <c:v>-0.43197680202882083</c:v>
                </c:pt>
                <c:pt idx="24">
                  <c:v>-0.83466865412631974</c:v>
                </c:pt>
                <c:pt idx="25">
                  <c:v>0.62349147772755176</c:v>
                </c:pt>
                <c:pt idx="26">
                  <c:v>0.46135864920659053</c:v>
                </c:pt>
                <c:pt idx="27">
                  <c:v>0.25141887989331685</c:v>
                </c:pt>
                <c:pt idx="28">
                  <c:v>0.98404861757560136</c:v>
                </c:pt>
                <c:pt idx="29">
                  <c:v>2.8104516585574335E-2</c:v>
                </c:pt>
                <c:pt idx="30">
                  <c:v>-1.0891812827846725</c:v>
                </c:pt>
                <c:pt idx="31">
                  <c:v>-1.0909751447260017</c:v>
                </c:pt>
                <c:pt idx="32">
                  <c:v>-0.68595611979398707</c:v>
                </c:pt>
                <c:pt idx="33">
                  <c:v>1.0591016914803197</c:v>
                </c:pt>
                <c:pt idx="34">
                  <c:v>-1.5848478645760071</c:v>
                </c:pt>
                <c:pt idx="35">
                  <c:v>-2.2522987870187041</c:v>
                </c:pt>
                <c:pt idx="36">
                  <c:v>-1.0131120322918883</c:v>
                </c:pt>
                <c:pt idx="37">
                  <c:v>-1.2181206034345764</c:v>
                </c:pt>
                <c:pt idx="38">
                  <c:v>-0.41215585616698147</c:v>
                </c:pt>
                <c:pt idx="39">
                  <c:v>-0.22469053653815488</c:v>
                </c:pt>
                <c:pt idx="40">
                  <c:v>1.676271069585312</c:v>
                </c:pt>
                <c:pt idx="41">
                  <c:v>3.4377428432206574</c:v>
                </c:pt>
                <c:pt idx="42">
                  <c:v>2.2477376850306969</c:v>
                </c:pt>
                <c:pt idx="43">
                  <c:v>4.3619365636246989</c:v>
                </c:pt>
                <c:pt idx="44">
                  <c:v>3.6216853230563792</c:v>
                </c:pt>
                <c:pt idx="45">
                  <c:v>3.6989563121683542</c:v>
                </c:pt>
                <c:pt idx="46">
                  <c:v>5.2262735178267121</c:v>
                </c:pt>
                <c:pt idx="47">
                  <c:v>5.6129435311560183</c:v>
                </c:pt>
                <c:pt idx="48">
                  <c:v>5.0350959985631727</c:v>
                </c:pt>
                <c:pt idx="49">
                  <c:v>4.7786503603857788</c:v>
                </c:pt>
                <c:pt idx="50">
                  <c:v>3.5073927781939123</c:v>
                </c:pt>
                <c:pt idx="51">
                  <c:v>4.4869385865021183</c:v>
                </c:pt>
                <c:pt idx="52">
                  <c:v>4.3453497268574255</c:v>
                </c:pt>
                <c:pt idx="53">
                  <c:v>4.1548635461120389</c:v>
                </c:pt>
                <c:pt idx="54">
                  <c:v>3.4599747482306591</c:v>
                </c:pt>
                <c:pt idx="55">
                  <c:v>5.4384605861703612</c:v>
                </c:pt>
                <c:pt idx="56">
                  <c:v>5.2636864990525947</c:v>
                </c:pt>
                <c:pt idx="57">
                  <c:v>4.4310181422779333</c:v>
                </c:pt>
                <c:pt idx="58">
                  <c:v>3.9364844736142293</c:v>
                </c:pt>
                <c:pt idx="59">
                  <c:v>4.5442868934884615</c:v>
                </c:pt>
                <c:pt idx="60">
                  <c:v>3.9836202305104704</c:v>
                </c:pt>
                <c:pt idx="61">
                  <c:v>3.2430906641563926</c:v>
                </c:pt>
                <c:pt idx="62">
                  <c:v>4.1890397317610075</c:v>
                </c:pt>
                <c:pt idx="63">
                  <c:v>3.0328933191503031</c:v>
                </c:pt>
                <c:pt idx="64">
                  <c:v>2.426561004958208</c:v>
                </c:pt>
                <c:pt idx="65">
                  <c:v>3.0899574963239527</c:v>
                </c:pt>
                <c:pt idx="66">
                  <c:v>2.7217029559391501</c:v>
                </c:pt>
                <c:pt idx="67">
                  <c:v>2.8710961669884929</c:v>
                </c:pt>
                <c:pt idx="68">
                  <c:v>2.698427089296386</c:v>
                </c:pt>
                <c:pt idx="69">
                  <c:v>3.6075315531874801</c:v>
                </c:pt>
                <c:pt idx="70">
                  <c:v>3.3816104265387974</c:v>
                </c:pt>
                <c:pt idx="71">
                  <c:v>4.0058547851676822</c:v>
                </c:pt>
                <c:pt idx="72">
                  <c:v>5.3578174543339827</c:v>
                </c:pt>
                <c:pt idx="73">
                  <c:v>4.5386688501440346</c:v>
                </c:pt>
                <c:pt idx="74">
                  <c:v>2.9450388993445915</c:v>
                </c:pt>
                <c:pt idx="75">
                  <c:v>2.41734066193521</c:v>
                </c:pt>
                <c:pt idx="76">
                  <c:v>2.3892749237588449</c:v>
                </c:pt>
                <c:pt idx="77">
                  <c:v>5.3261237689551155E-2</c:v>
                </c:pt>
                <c:pt idx="78">
                  <c:v>0.34437885271864654</c:v>
                </c:pt>
                <c:pt idx="79">
                  <c:v>9.3976739949464427E-2</c:v>
                </c:pt>
                <c:pt idx="80">
                  <c:v>0.26431828562891135</c:v>
                </c:pt>
                <c:pt idx="81">
                  <c:v>-2.0865933394161265</c:v>
                </c:pt>
                <c:pt idx="82">
                  <c:v>-0.59563048811815866</c:v>
                </c:pt>
                <c:pt idx="83">
                  <c:v>-1.3561166486159335</c:v>
                </c:pt>
                <c:pt idx="84">
                  <c:v>-1.1282982686157277</c:v>
                </c:pt>
                <c:pt idx="85">
                  <c:v>-1.5035281145190913</c:v>
                </c:pt>
                <c:pt idx="86">
                  <c:v>-1.480294306773704</c:v>
                </c:pt>
                <c:pt idx="87">
                  <c:v>-0.35171833138395558</c:v>
                </c:pt>
                <c:pt idx="88">
                  <c:v>-1.1902599790858654</c:v>
                </c:pt>
                <c:pt idx="89">
                  <c:v>-1.2581275795718345</c:v>
                </c:pt>
                <c:pt idx="90">
                  <c:v>-0.91639124396418992</c:v>
                </c:pt>
                <c:pt idx="91">
                  <c:v>-1.4977921250078601</c:v>
                </c:pt>
                <c:pt idx="92">
                  <c:v>-0.64749734232876477</c:v>
                </c:pt>
                <c:pt idx="93">
                  <c:v>-0.17538425575165156</c:v>
                </c:pt>
                <c:pt idx="94">
                  <c:v>-0.94086755773292796</c:v>
                </c:pt>
                <c:pt idx="95">
                  <c:v>-2.0281441526373447</c:v>
                </c:pt>
                <c:pt idx="96">
                  <c:v>-0.73489958891459595</c:v>
                </c:pt>
                <c:pt idx="97">
                  <c:v>-0.78086789302839543</c:v>
                </c:pt>
                <c:pt idx="98">
                  <c:v>-2.2790728342488054</c:v>
                </c:pt>
                <c:pt idx="99">
                  <c:v>-2.1398165600234957</c:v>
                </c:pt>
                <c:pt idx="100">
                  <c:v>-2.2367241848751074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1D-495B-9ACA-D470FEDF6C29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GBM!$K$14:$DG$14</c:f>
              <c:numCache>
                <c:formatCode>General</c:formatCode>
                <c:ptCount val="101"/>
                <c:pt idx="0">
                  <c:v>0</c:v>
                </c:pt>
                <c:pt idx="1">
                  <c:v>0.6913807416895873</c:v>
                </c:pt>
                <c:pt idx="2">
                  <c:v>-0.67222988863769173</c:v>
                </c:pt>
                <c:pt idx="3">
                  <c:v>-0.67647636673692269</c:v>
                </c:pt>
                <c:pt idx="4">
                  <c:v>-1.1177978252875531</c:v>
                </c:pt>
                <c:pt idx="5">
                  <c:v>-0.55682759723925379</c:v>
                </c:pt>
                <c:pt idx="6">
                  <c:v>-0.33105022902021775</c:v>
                </c:pt>
                <c:pt idx="7">
                  <c:v>0.35669047866670478</c:v>
                </c:pt>
                <c:pt idx="8">
                  <c:v>-1.2935056714961268</c:v>
                </c:pt>
                <c:pt idx="9">
                  <c:v>-6.3505697750447565E-2</c:v>
                </c:pt>
                <c:pt idx="10">
                  <c:v>-0.76578426832095159</c:v>
                </c:pt>
                <c:pt idx="11">
                  <c:v>-1.6869241681208313</c:v>
                </c:pt>
                <c:pt idx="12">
                  <c:v>-2.7937044461394249</c:v>
                </c:pt>
                <c:pt idx="13">
                  <c:v>-3.2737521113978345</c:v>
                </c:pt>
                <c:pt idx="14">
                  <c:v>-0.9505090979849089</c:v>
                </c:pt>
                <c:pt idx="15">
                  <c:v>-0.85592791771478272</c:v>
                </c:pt>
                <c:pt idx="16">
                  <c:v>0.64645136530256297</c:v>
                </c:pt>
                <c:pt idx="17">
                  <c:v>0.15303958596370704</c:v>
                </c:pt>
                <c:pt idx="18">
                  <c:v>0.94022983933639803</c:v>
                </c:pt>
                <c:pt idx="19">
                  <c:v>-0.85470731011044287</c:v>
                </c:pt>
                <c:pt idx="20">
                  <c:v>0.26992800981376142</c:v>
                </c:pt>
                <c:pt idx="21">
                  <c:v>-9.2964379332023006E-2</c:v>
                </c:pt>
                <c:pt idx="22">
                  <c:v>0.15425946069458016</c:v>
                </c:pt>
                <c:pt idx="23">
                  <c:v>1.2722326188160364</c:v>
                </c:pt>
                <c:pt idx="24">
                  <c:v>0.35221069043008146</c:v>
                </c:pt>
                <c:pt idx="25">
                  <c:v>-0.30803918623058379</c:v>
                </c:pt>
                <c:pt idx="26">
                  <c:v>2.8366459256961871</c:v>
                </c:pt>
                <c:pt idx="27">
                  <c:v>3.0950119223912615</c:v>
                </c:pt>
                <c:pt idx="28">
                  <c:v>3.8904254670665122</c:v>
                </c:pt>
                <c:pt idx="29">
                  <c:v>4.6258178064095077</c:v>
                </c:pt>
                <c:pt idx="30">
                  <c:v>3.1830145944598498</c:v>
                </c:pt>
                <c:pt idx="31">
                  <c:v>3.7936270697741059</c:v>
                </c:pt>
                <c:pt idx="32">
                  <c:v>3.1747234584390918</c:v>
                </c:pt>
                <c:pt idx="33">
                  <c:v>3.7373099564277497</c:v>
                </c:pt>
                <c:pt idx="34">
                  <c:v>2.7281779333393477</c:v>
                </c:pt>
                <c:pt idx="35">
                  <c:v>1.2029133882790217</c:v>
                </c:pt>
                <c:pt idx="36">
                  <c:v>1.5172450280026755</c:v>
                </c:pt>
                <c:pt idx="37">
                  <c:v>3.6004379255141412</c:v>
                </c:pt>
                <c:pt idx="38">
                  <c:v>3.8759510166991369</c:v>
                </c:pt>
                <c:pt idx="39">
                  <c:v>2.9485507974837883</c:v>
                </c:pt>
                <c:pt idx="40">
                  <c:v>2.0613215943642071</c:v>
                </c:pt>
                <c:pt idx="41">
                  <c:v>1.1774894378612464</c:v>
                </c:pt>
                <c:pt idx="42">
                  <c:v>1.0900569206256243</c:v>
                </c:pt>
                <c:pt idx="43">
                  <c:v>1.2340313719743052</c:v>
                </c:pt>
                <c:pt idx="44">
                  <c:v>0.99860490736908714</c:v>
                </c:pt>
                <c:pt idx="45">
                  <c:v>2.4977591537760158</c:v>
                </c:pt>
                <c:pt idx="46">
                  <c:v>2.2228612266499841</c:v>
                </c:pt>
                <c:pt idx="47">
                  <c:v>2.6160470774429885</c:v>
                </c:pt>
                <c:pt idx="48">
                  <c:v>2.7658569842331944</c:v>
                </c:pt>
                <c:pt idx="49">
                  <c:v>4.3109119896506911</c:v>
                </c:pt>
                <c:pt idx="50">
                  <c:v>3.5527900874616769</c:v>
                </c:pt>
                <c:pt idx="51">
                  <c:v>3.1713200467482618</c:v>
                </c:pt>
                <c:pt idx="52">
                  <c:v>4.0974736803963427</c:v>
                </c:pt>
                <c:pt idx="53">
                  <c:v>3.3901443682769083</c:v>
                </c:pt>
                <c:pt idx="54">
                  <c:v>4.1959679804021484</c:v>
                </c:pt>
                <c:pt idx="55">
                  <c:v>5.6335952790851183</c:v>
                </c:pt>
                <c:pt idx="56">
                  <c:v>5.7223202803810196</c:v>
                </c:pt>
                <c:pt idx="57">
                  <c:v>5.4572057402912337</c:v>
                </c:pt>
                <c:pt idx="58">
                  <c:v>4.7903640819376889</c:v>
                </c:pt>
                <c:pt idx="59">
                  <c:v>4.5116969418551722</c:v>
                </c:pt>
                <c:pt idx="60">
                  <c:v>3.4414615927913652</c:v>
                </c:pt>
                <c:pt idx="61">
                  <c:v>4.58639530802827</c:v>
                </c:pt>
                <c:pt idx="62">
                  <c:v>4.8618364552632229</c:v>
                </c:pt>
                <c:pt idx="63">
                  <c:v>5.7351399024102596</c:v>
                </c:pt>
                <c:pt idx="64">
                  <c:v>6.4429818521755244</c:v>
                </c:pt>
                <c:pt idx="65">
                  <c:v>7.8944437608038651</c:v>
                </c:pt>
                <c:pt idx="66">
                  <c:v>6.9315172062546901</c:v>
                </c:pt>
                <c:pt idx="67">
                  <c:v>6.9827069602412664</c:v>
                </c:pt>
                <c:pt idx="68">
                  <c:v>6.1789548462193604</c:v>
                </c:pt>
                <c:pt idx="69">
                  <c:v>4.8056515698794087</c:v>
                </c:pt>
                <c:pt idx="70">
                  <c:v>5.1214751676107797</c:v>
                </c:pt>
                <c:pt idx="71">
                  <c:v>4.3912659724984939</c:v>
                </c:pt>
                <c:pt idx="72">
                  <c:v>5.1733124066971161</c:v>
                </c:pt>
                <c:pt idx="73">
                  <c:v>5.4407962066226991</c:v>
                </c:pt>
                <c:pt idx="74">
                  <c:v>4.4114219454216661</c:v>
                </c:pt>
                <c:pt idx="75">
                  <c:v>2.9903359576742323</c:v>
                </c:pt>
                <c:pt idx="76">
                  <c:v>3.5887169251465592</c:v>
                </c:pt>
                <c:pt idx="77">
                  <c:v>3.5233844919711514</c:v>
                </c:pt>
                <c:pt idx="78">
                  <c:v>4.6664117156880671</c:v>
                </c:pt>
                <c:pt idx="79">
                  <c:v>4.612610598651611</c:v>
                </c:pt>
                <c:pt idx="80">
                  <c:v>5.5054900612924929</c:v>
                </c:pt>
                <c:pt idx="81">
                  <c:v>6.2382029804203132</c:v>
                </c:pt>
                <c:pt idx="82">
                  <c:v>7.2489830015232979</c:v>
                </c:pt>
                <c:pt idx="83">
                  <c:v>8.4928121223807533</c:v>
                </c:pt>
                <c:pt idx="84">
                  <c:v>7.0044436889161164</c:v>
                </c:pt>
                <c:pt idx="85">
                  <c:v>7.9456661380306164</c:v>
                </c:pt>
                <c:pt idx="86">
                  <c:v>7.8188429977931753</c:v>
                </c:pt>
                <c:pt idx="87">
                  <c:v>7.8437399421256373</c:v>
                </c:pt>
                <c:pt idx="88">
                  <c:v>8.1198569329200492</c:v>
                </c:pt>
                <c:pt idx="89">
                  <c:v>9.0341344845341727</c:v>
                </c:pt>
                <c:pt idx="90">
                  <c:v>8.1896468966817935</c:v>
                </c:pt>
                <c:pt idx="91">
                  <c:v>8.2260116488918271</c:v>
                </c:pt>
                <c:pt idx="92">
                  <c:v>5.6832778400735657</c:v>
                </c:pt>
                <c:pt idx="93">
                  <c:v>6.0726541215759164</c:v>
                </c:pt>
                <c:pt idx="94">
                  <c:v>5.3893652800801704</c:v>
                </c:pt>
                <c:pt idx="95">
                  <c:v>5.5205383709845277</c:v>
                </c:pt>
                <c:pt idx="96">
                  <c:v>6.461113463633688</c:v>
                </c:pt>
                <c:pt idx="97">
                  <c:v>7.1445075483978684</c:v>
                </c:pt>
                <c:pt idx="98">
                  <c:v>9.5372728755537235</c:v>
                </c:pt>
                <c:pt idx="99">
                  <c:v>8.5079624159190121</c:v>
                </c:pt>
                <c:pt idx="100">
                  <c:v>6.7032697193355935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1D-495B-9ACA-D470FEDF6C29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GBM!$K$15:$DG$15</c:f>
              <c:numCache>
                <c:formatCode>General</c:formatCode>
                <c:ptCount val="101"/>
                <c:pt idx="0">
                  <c:v>0</c:v>
                </c:pt>
                <c:pt idx="1">
                  <c:v>-0.91928548239260921</c:v>
                </c:pt>
                <c:pt idx="2">
                  <c:v>-1.5888745342856243</c:v>
                </c:pt>
                <c:pt idx="3">
                  <c:v>-0.22431594480739458</c:v>
                </c:pt>
                <c:pt idx="4">
                  <c:v>5.0252673900894718E-2</c:v>
                </c:pt>
                <c:pt idx="5">
                  <c:v>0.85643772840500698</c:v>
                </c:pt>
                <c:pt idx="6">
                  <c:v>-1.1719993691592281</c:v>
                </c:pt>
                <c:pt idx="7">
                  <c:v>-1.1614372447868131</c:v>
                </c:pt>
                <c:pt idx="8">
                  <c:v>-0.39841165192789507</c:v>
                </c:pt>
                <c:pt idx="9">
                  <c:v>1.1027771975188476</c:v>
                </c:pt>
                <c:pt idx="10">
                  <c:v>0.55520232016615589</c:v>
                </c:pt>
                <c:pt idx="11">
                  <c:v>0.50006092532719926</c:v>
                </c:pt>
                <c:pt idx="12">
                  <c:v>3.0077264873090845</c:v>
                </c:pt>
                <c:pt idx="13">
                  <c:v>3.4582486460081201</c:v>
                </c:pt>
                <c:pt idx="14">
                  <c:v>1.370367347343517</c:v>
                </c:pt>
                <c:pt idx="15">
                  <c:v>-0.94472091556643401</c:v>
                </c:pt>
                <c:pt idx="16">
                  <c:v>-1.0650486404449799</c:v>
                </c:pt>
                <c:pt idx="17">
                  <c:v>-0.55081330367859516</c:v>
                </c:pt>
                <c:pt idx="18">
                  <c:v>-0.30650295947544132</c:v>
                </c:pt>
                <c:pt idx="19">
                  <c:v>-0.35913903700781241</c:v>
                </c:pt>
                <c:pt idx="20">
                  <c:v>-0.70323980346722437</c:v>
                </c:pt>
                <c:pt idx="21">
                  <c:v>-2.8098502942024219</c:v>
                </c:pt>
                <c:pt idx="22">
                  <c:v>-3.2284427877476056</c:v>
                </c:pt>
                <c:pt idx="23">
                  <c:v>-2.8448965755010391</c:v>
                </c:pt>
                <c:pt idx="24">
                  <c:v>-2.3589666189430649</c:v>
                </c:pt>
                <c:pt idx="25">
                  <c:v>-2.9372688024278029</c:v>
                </c:pt>
                <c:pt idx="26">
                  <c:v>-3.0976078771486173</c:v>
                </c:pt>
                <c:pt idx="27">
                  <c:v>-2.3924399062571995</c:v>
                </c:pt>
                <c:pt idx="28">
                  <c:v>-2.8939795268568247</c:v>
                </c:pt>
                <c:pt idx="29">
                  <c:v>-4.3620150447206596</c:v>
                </c:pt>
                <c:pt idx="30">
                  <c:v>-2.2791981479333874</c:v>
                </c:pt>
                <c:pt idx="31">
                  <c:v>-2.424171651837268</c:v>
                </c:pt>
                <c:pt idx="32">
                  <c:v>-0.82257387956740868</c:v>
                </c:pt>
                <c:pt idx="33">
                  <c:v>-7.6267782548224639E-2</c:v>
                </c:pt>
                <c:pt idx="34">
                  <c:v>-2.2789714500668365</c:v>
                </c:pt>
                <c:pt idx="35">
                  <c:v>-1.5900304740091395</c:v>
                </c:pt>
                <c:pt idx="36">
                  <c:v>-1.8520150551977002</c:v>
                </c:pt>
                <c:pt idx="37">
                  <c:v>-1.1065047264357704</c:v>
                </c:pt>
                <c:pt idx="38">
                  <c:v>-1.5928185557694481</c:v>
                </c:pt>
                <c:pt idx="39">
                  <c:v>-2.3250745099643479</c:v>
                </c:pt>
                <c:pt idx="40">
                  <c:v>-2.8437509456975838</c:v>
                </c:pt>
                <c:pt idx="41">
                  <c:v>-0.66207531488753668</c:v>
                </c:pt>
                <c:pt idx="42">
                  <c:v>-2.3652020113037375</c:v>
                </c:pt>
                <c:pt idx="43">
                  <c:v>-2.8455557085462146</c:v>
                </c:pt>
                <c:pt idx="44">
                  <c:v>-0.14201492040238728</c:v>
                </c:pt>
                <c:pt idx="45">
                  <c:v>0.39915948827575709</c:v>
                </c:pt>
                <c:pt idx="46">
                  <c:v>0.52632839260488551</c:v>
                </c:pt>
                <c:pt idx="47">
                  <c:v>-0.10161361768797217</c:v>
                </c:pt>
                <c:pt idx="48">
                  <c:v>-0.10135659629036423</c:v>
                </c:pt>
                <c:pt idx="49">
                  <c:v>1.2807755722897074</c:v>
                </c:pt>
                <c:pt idx="50">
                  <c:v>3.2686286860670237</c:v>
                </c:pt>
                <c:pt idx="51">
                  <c:v>3.6137882777663539</c:v>
                </c:pt>
                <c:pt idx="52">
                  <c:v>4.861080869238962</c:v>
                </c:pt>
                <c:pt idx="53">
                  <c:v>5.1012057592179882</c:v>
                </c:pt>
                <c:pt idx="54">
                  <c:v>4.8516543895410287</c:v>
                </c:pt>
                <c:pt idx="55">
                  <c:v>4.3457551570783846</c:v>
                </c:pt>
                <c:pt idx="56">
                  <c:v>5.2757357135822556</c:v>
                </c:pt>
                <c:pt idx="57">
                  <c:v>5.6042672986830562</c:v>
                </c:pt>
                <c:pt idx="58">
                  <c:v>6.1191259738309984</c:v>
                </c:pt>
                <c:pt idx="59">
                  <c:v>4.186775022172684</c:v>
                </c:pt>
                <c:pt idx="60">
                  <c:v>4.3924451809734659</c:v>
                </c:pt>
                <c:pt idx="61">
                  <c:v>5.1398335426491508</c:v>
                </c:pt>
                <c:pt idx="62">
                  <c:v>4.8997408364592703</c:v>
                </c:pt>
                <c:pt idx="63">
                  <c:v>3.4586218981694072</c:v>
                </c:pt>
                <c:pt idx="64">
                  <c:v>3.0158358109566579</c:v>
                </c:pt>
                <c:pt idx="65">
                  <c:v>2.7880627495262944</c:v>
                </c:pt>
                <c:pt idx="66">
                  <c:v>2.1515375356078463</c:v>
                </c:pt>
                <c:pt idx="67">
                  <c:v>-6.100852136468804E-2</c:v>
                </c:pt>
                <c:pt idx="68">
                  <c:v>0.2138428421256075</c:v>
                </c:pt>
                <c:pt idx="69">
                  <c:v>1.3302307072416459</c:v>
                </c:pt>
                <c:pt idx="70">
                  <c:v>1.0245913465362049</c:v>
                </c:pt>
                <c:pt idx="71">
                  <c:v>0.7121258595772556</c:v>
                </c:pt>
                <c:pt idx="72">
                  <c:v>1.2230034625805075</c:v>
                </c:pt>
                <c:pt idx="73">
                  <c:v>0.8500138826882031</c:v>
                </c:pt>
                <c:pt idx="74">
                  <c:v>-0.64482091906901817</c:v>
                </c:pt>
                <c:pt idx="75">
                  <c:v>-2.5074812741452517</c:v>
                </c:pt>
                <c:pt idx="76">
                  <c:v>0.49552590578128264</c:v>
                </c:pt>
                <c:pt idx="77">
                  <c:v>0.50518819633982948</c:v>
                </c:pt>
                <c:pt idx="78">
                  <c:v>0.37048485685444332</c:v>
                </c:pt>
                <c:pt idx="79">
                  <c:v>0.32788788165496713</c:v>
                </c:pt>
                <c:pt idx="80">
                  <c:v>0.69984689687302515</c:v>
                </c:pt>
                <c:pt idx="81">
                  <c:v>1.5079034060239231</c:v>
                </c:pt>
                <c:pt idx="82">
                  <c:v>0.34309543513796004</c:v>
                </c:pt>
                <c:pt idx="83">
                  <c:v>-1.0133029626020966</c:v>
                </c:pt>
                <c:pt idx="84">
                  <c:v>-1.6570317294710906</c:v>
                </c:pt>
                <c:pt idx="85">
                  <c:v>-1.4829215063710275</c:v>
                </c:pt>
                <c:pt idx="86">
                  <c:v>-0.81408402763697352</c:v>
                </c:pt>
                <c:pt idx="87">
                  <c:v>-2.9012187866991184</c:v>
                </c:pt>
                <c:pt idx="88">
                  <c:v>-3.9511363148100056</c:v>
                </c:pt>
                <c:pt idx="89">
                  <c:v>-3.1545587355951863</c:v>
                </c:pt>
                <c:pt idx="90">
                  <c:v>-0.47523501273629032</c:v>
                </c:pt>
                <c:pt idx="91">
                  <c:v>-1.4535860499757787</c:v>
                </c:pt>
                <c:pt idx="92">
                  <c:v>-0.22353281776256684</c:v>
                </c:pt>
                <c:pt idx="93">
                  <c:v>0.54119472678427549</c:v>
                </c:pt>
                <c:pt idx="94">
                  <c:v>1.3147003636750814</c:v>
                </c:pt>
                <c:pt idx="95">
                  <c:v>1.5498693994062758</c:v>
                </c:pt>
                <c:pt idx="96">
                  <c:v>3.446223987479506</c:v>
                </c:pt>
                <c:pt idx="97">
                  <c:v>4.6786367985536499</c:v>
                </c:pt>
                <c:pt idx="98">
                  <c:v>4.9889081834799107</c:v>
                </c:pt>
                <c:pt idx="99">
                  <c:v>5.2344350369405737</c:v>
                </c:pt>
                <c:pt idx="100">
                  <c:v>4.4517502290777529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1D-495B-9ACA-D470FEDF6C29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GBM!$K$16:$DG$16</c:f>
              <c:numCache>
                <c:formatCode>General</c:formatCode>
                <c:ptCount val="101"/>
                <c:pt idx="0">
                  <c:v>0</c:v>
                </c:pt>
                <c:pt idx="1">
                  <c:v>0.18600938783131354</c:v>
                </c:pt>
                <c:pt idx="2">
                  <c:v>1.3058376424561182</c:v>
                </c:pt>
                <c:pt idx="3">
                  <c:v>0.92007408407136038</c:v>
                </c:pt>
                <c:pt idx="4">
                  <c:v>1.1300945542689669</c:v>
                </c:pt>
                <c:pt idx="5">
                  <c:v>3.1439233836359168</c:v>
                </c:pt>
                <c:pt idx="6">
                  <c:v>2.9625297700483459</c:v>
                </c:pt>
                <c:pt idx="7">
                  <c:v>4.4281893399909986</c:v>
                </c:pt>
                <c:pt idx="8">
                  <c:v>6.4041515710788435</c:v>
                </c:pt>
                <c:pt idx="9">
                  <c:v>5.202690662818374</c:v>
                </c:pt>
                <c:pt idx="10">
                  <c:v>6.663680132657201</c:v>
                </c:pt>
                <c:pt idx="11">
                  <c:v>6.4964503250164602</c:v>
                </c:pt>
                <c:pt idx="12">
                  <c:v>5.9817956461878259</c:v>
                </c:pt>
                <c:pt idx="13">
                  <c:v>5.5037130412354829</c:v>
                </c:pt>
                <c:pt idx="14">
                  <c:v>4.2015715475265276</c:v>
                </c:pt>
                <c:pt idx="15">
                  <c:v>3.5460896442205874</c:v>
                </c:pt>
                <c:pt idx="16">
                  <c:v>4.4488974466596147</c:v>
                </c:pt>
                <c:pt idx="17">
                  <c:v>3.5804647343104499</c:v>
                </c:pt>
                <c:pt idx="18">
                  <c:v>3.7860070366287966</c:v>
                </c:pt>
                <c:pt idx="19">
                  <c:v>3.0600595124745444</c:v>
                </c:pt>
                <c:pt idx="20">
                  <c:v>3.2446771876080143</c:v>
                </c:pt>
                <c:pt idx="21">
                  <c:v>3.8473727325538976</c:v>
                </c:pt>
                <c:pt idx="22">
                  <c:v>3.7034154168259796</c:v>
                </c:pt>
                <c:pt idx="23">
                  <c:v>4.1897267187718574</c:v>
                </c:pt>
                <c:pt idx="24">
                  <c:v>4.9530368256878816</c:v>
                </c:pt>
                <c:pt idx="25">
                  <c:v>5.7041550201925117</c:v>
                </c:pt>
                <c:pt idx="26">
                  <c:v>5.4218330005139093</c:v>
                </c:pt>
                <c:pt idx="27">
                  <c:v>5.1443165649734244</c:v>
                </c:pt>
                <c:pt idx="28">
                  <c:v>5.3053454322504434</c:v>
                </c:pt>
                <c:pt idx="29">
                  <c:v>4.5126286614744355</c:v>
                </c:pt>
                <c:pt idx="30">
                  <c:v>5.2177567880381215</c:v>
                </c:pt>
                <c:pt idx="31">
                  <c:v>4.1369790161735009</c:v>
                </c:pt>
                <c:pt idx="32">
                  <c:v>3.3129996338461325</c:v>
                </c:pt>
                <c:pt idx="33">
                  <c:v>4.4854573344009152</c:v>
                </c:pt>
                <c:pt idx="34">
                  <c:v>4.3513317676759709</c:v>
                </c:pt>
                <c:pt idx="35">
                  <c:v>5.6667540954410747</c:v>
                </c:pt>
                <c:pt idx="36">
                  <c:v>4.9496610209420417</c:v>
                </c:pt>
                <c:pt idx="37">
                  <c:v>5.7132671832125457</c:v>
                </c:pt>
                <c:pt idx="38">
                  <c:v>6.952159851119796</c:v>
                </c:pt>
                <c:pt idx="39">
                  <c:v>7.1869868084844155</c:v>
                </c:pt>
                <c:pt idx="40">
                  <c:v>6.9944051180392179</c:v>
                </c:pt>
                <c:pt idx="41">
                  <c:v>5.4385918889690519</c:v>
                </c:pt>
                <c:pt idx="42">
                  <c:v>4.396858593080589</c:v>
                </c:pt>
                <c:pt idx="43">
                  <c:v>5.9633244425380036</c:v>
                </c:pt>
                <c:pt idx="44">
                  <c:v>5.8556665370247121</c:v>
                </c:pt>
                <c:pt idx="45">
                  <c:v>6.9583605435101914</c:v>
                </c:pt>
                <c:pt idx="46">
                  <c:v>8.2395292167242324</c:v>
                </c:pt>
                <c:pt idx="47">
                  <c:v>8.3490898990075806</c:v>
                </c:pt>
                <c:pt idx="48">
                  <c:v>6.4192421741671657</c:v>
                </c:pt>
                <c:pt idx="49">
                  <c:v>6.4204963596681868</c:v>
                </c:pt>
                <c:pt idx="50">
                  <c:v>5.3468496709535014</c:v>
                </c:pt>
                <c:pt idx="51">
                  <c:v>5.2623506708608412</c:v>
                </c:pt>
                <c:pt idx="52">
                  <c:v>4.9525269724832199</c:v>
                </c:pt>
                <c:pt idx="53">
                  <c:v>4.0602487973157464</c:v>
                </c:pt>
                <c:pt idx="54">
                  <c:v>4.7823054977074184</c:v>
                </c:pt>
                <c:pt idx="55">
                  <c:v>4.4182414210842227</c:v>
                </c:pt>
                <c:pt idx="56">
                  <c:v>3.8019683478198711</c:v>
                </c:pt>
                <c:pt idx="57">
                  <c:v>3.1527798216488856</c:v>
                </c:pt>
                <c:pt idx="58">
                  <c:v>3.6550000164325538</c:v>
                </c:pt>
                <c:pt idx="59">
                  <c:v>4.6000114913686971</c:v>
                </c:pt>
                <c:pt idx="60">
                  <c:v>4.1480931705870665</c:v>
                </c:pt>
                <c:pt idx="61">
                  <c:v>4.9070199843483175</c:v>
                </c:pt>
                <c:pt idx="62">
                  <c:v>4.7088046204362524</c:v>
                </c:pt>
                <c:pt idx="63">
                  <c:v>3.6850054941680161</c:v>
                </c:pt>
                <c:pt idx="64">
                  <c:v>4.1220197064345765</c:v>
                </c:pt>
                <c:pt idx="65">
                  <c:v>4.6565024485182747</c:v>
                </c:pt>
                <c:pt idx="66">
                  <c:v>4.1006939930235884</c:v>
                </c:pt>
                <c:pt idx="67">
                  <c:v>5.3992085719903642</c:v>
                </c:pt>
                <c:pt idx="68">
                  <c:v>5.3791316012067201</c:v>
                </c:pt>
                <c:pt idx="69">
                  <c:v>3.9095813380275768</c:v>
                </c:pt>
                <c:pt idx="70">
                  <c:v>3.9992552334197029</c:v>
                </c:pt>
                <c:pt idx="71">
                  <c:v>2.6382775606376718</c:v>
                </c:pt>
                <c:pt idx="72">
                  <c:v>0.89909675524187338</c:v>
                </c:pt>
                <c:pt idx="73">
                  <c:v>1.8210939366442203</c:v>
                </c:pt>
                <c:pt idx="74">
                  <c:v>2.9633689002005665</c:v>
                </c:pt>
                <c:pt idx="75">
                  <c:v>3.9281520627657676</c:v>
                </c:pt>
                <c:pt idx="76">
                  <c:v>2.4159353667728238</c:v>
                </c:pt>
                <c:pt idx="77">
                  <c:v>4.2892228813498807</c:v>
                </c:pt>
                <c:pt idx="78">
                  <c:v>3.6121261511192033</c:v>
                </c:pt>
                <c:pt idx="79">
                  <c:v>1.9013115078754868</c:v>
                </c:pt>
                <c:pt idx="80">
                  <c:v>0.942008859554056</c:v>
                </c:pt>
                <c:pt idx="81">
                  <c:v>-0.2546205278244239</c:v>
                </c:pt>
                <c:pt idx="82">
                  <c:v>1.0268440805897003</c:v>
                </c:pt>
                <c:pt idx="83">
                  <c:v>0.72118471970425502</c:v>
                </c:pt>
                <c:pt idx="84">
                  <c:v>1.3368524519380394</c:v>
                </c:pt>
                <c:pt idx="85">
                  <c:v>1.5117178353788945</c:v>
                </c:pt>
                <c:pt idx="86">
                  <c:v>1.5697363299925053</c:v>
                </c:pt>
                <c:pt idx="87">
                  <c:v>1.0344654517207184</c:v>
                </c:pt>
                <c:pt idx="88">
                  <c:v>0.7334466113897895</c:v>
                </c:pt>
                <c:pt idx="89">
                  <c:v>0.7071736645535377</c:v>
                </c:pt>
                <c:pt idx="90">
                  <c:v>1.796105798248639</c:v>
                </c:pt>
                <c:pt idx="91">
                  <c:v>2.8029284289681895</c:v>
                </c:pt>
                <c:pt idx="92">
                  <c:v>2.7668672423320921</c:v>
                </c:pt>
                <c:pt idx="93">
                  <c:v>0.95952864945647676</c:v>
                </c:pt>
                <c:pt idx="94">
                  <c:v>2.1800061664373329</c:v>
                </c:pt>
                <c:pt idx="95">
                  <c:v>0.49553397125947574</c:v>
                </c:pt>
                <c:pt idx="96">
                  <c:v>1.5305584947840505</c:v>
                </c:pt>
                <c:pt idx="97">
                  <c:v>1.3763250193583105</c:v>
                </c:pt>
                <c:pt idx="98">
                  <c:v>2.1422044735250263</c:v>
                </c:pt>
                <c:pt idx="99">
                  <c:v>2.1697363455025198</c:v>
                </c:pt>
                <c:pt idx="100">
                  <c:v>2.7920071379862161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1D-495B-9ACA-D470FEDF6C29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GBM!$K$17:$DG$17</c:f>
              <c:numCache>
                <c:formatCode>General</c:formatCode>
                <c:ptCount val="101"/>
                <c:pt idx="0">
                  <c:v>0</c:v>
                </c:pt>
                <c:pt idx="1">
                  <c:v>-0.52562479376485305</c:v>
                </c:pt>
                <c:pt idx="2">
                  <c:v>-1.1066735180875451</c:v>
                </c:pt>
                <c:pt idx="3">
                  <c:v>-0.7043709769904597</c:v>
                </c:pt>
                <c:pt idx="4">
                  <c:v>-1.3839052118573263</c:v>
                </c:pt>
                <c:pt idx="5">
                  <c:v>-1.0925396075808873</c:v>
                </c:pt>
                <c:pt idx="6">
                  <c:v>-0.75502373387822519</c:v>
                </c:pt>
                <c:pt idx="7">
                  <c:v>-0.49981629663188543</c:v>
                </c:pt>
                <c:pt idx="8">
                  <c:v>-7.0399781283001839E-2</c:v>
                </c:pt>
                <c:pt idx="9">
                  <c:v>0.30667311118219887</c:v>
                </c:pt>
                <c:pt idx="10">
                  <c:v>-0.70314142544977021</c:v>
                </c:pt>
                <c:pt idx="11">
                  <c:v>-1.0944478775480402</c:v>
                </c:pt>
                <c:pt idx="12">
                  <c:v>-1.6513711364961423</c:v>
                </c:pt>
                <c:pt idx="13">
                  <c:v>-3.0409199397504372</c:v>
                </c:pt>
                <c:pt idx="14">
                  <c:v>-1.1686906864100417</c:v>
                </c:pt>
                <c:pt idx="15">
                  <c:v>-2.4226954219918744</c:v>
                </c:pt>
                <c:pt idx="16">
                  <c:v>-5.4450226515100777</c:v>
                </c:pt>
                <c:pt idx="17">
                  <c:v>-5.6546490956536655</c:v>
                </c:pt>
                <c:pt idx="18">
                  <c:v>-6.1664783115152231</c:v>
                </c:pt>
                <c:pt idx="19">
                  <c:v>-5.4395124924157905</c:v>
                </c:pt>
                <c:pt idx="20">
                  <c:v>-5.2450128965341172</c:v>
                </c:pt>
                <c:pt idx="21">
                  <c:v>-5.8232016546517595</c:v>
                </c:pt>
                <c:pt idx="22">
                  <c:v>-5.5830459028431667</c:v>
                </c:pt>
                <c:pt idx="23">
                  <c:v>-7.0091394472064623</c:v>
                </c:pt>
                <c:pt idx="24">
                  <c:v>-7.4106293013359563</c:v>
                </c:pt>
                <c:pt idx="25">
                  <c:v>-9.421466230464496</c:v>
                </c:pt>
                <c:pt idx="26">
                  <c:v>-9.1585733473866338</c:v>
                </c:pt>
                <c:pt idx="27">
                  <c:v>-10.15906039105043</c:v>
                </c:pt>
                <c:pt idx="28">
                  <c:v>-11.04955801394973</c:v>
                </c:pt>
                <c:pt idx="29">
                  <c:v>-11.068268935227248</c:v>
                </c:pt>
                <c:pt idx="30">
                  <c:v>-11.466376990300864</c:v>
                </c:pt>
                <c:pt idx="31">
                  <c:v>-10.300068798976007</c:v>
                </c:pt>
                <c:pt idx="32">
                  <c:v>-11.11747527428335</c:v>
                </c:pt>
                <c:pt idx="33">
                  <c:v>-10.685164695070062</c:v>
                </c:pt>
                <c:pt idx="34">
                  <c:v>-11.775435500045614</c:v>
                </c:pt>
                <c:pt idx="35">
                  <c:v>-11.673442424126828</c:v>
                </c:pt>
                <c:pt idx="36">
                  <c:v>-11.413055211504435</c:v>
                </c:pt>
                <c:pt idx="37">
                  <c:v>-11.564560921813939</c:v>
                </c:pt>
                <c:pt idx="38">
                  <c:v>-10.44032466028137</c:v>
                </c:pt>
                <c:pt idx="39">
                  <c:v>-10.492120396549344</c:v>
                </c:pt>
                <c:pt idx="40">
                  <c:v>-11.118237801405453</c:v>
                </c:pt>
                <c:pt idx="41">
                  <c:v>-11.683085277666404</c:v>
                </c:pt>
                <c:pt idx="42">
                  <c:v>-10.627224745233608</c:v>
                </c:pt>
                <c:pt idx="43">
                  <c:v>-9.6595547432588837</c:v>
                </c:pt>
                <c:pt idx="44">
                  <c:v>-9.8752799929493502</c:v>
                </c:pt>
                <c:pt idx="45">
                  <c:v>-10.018864283715846</c:v>
                </c:pt>
                <c:pt idx="46">
                  <c:v>-9.7762595797636802</c:v>
                </c:pt>
                <c:pt idx="47">
                  <c:v>-9.7428154059217515</c:v>
                </c:pt>
                <c:pt idx="48">
                  <c:v>-8.5845119638535401</c:v>
                </c:pt>
                <c:pt idx="49">
                  <c:v>-8.8768691256032408</c:v>
                </c:pt>
                <c:pt idx="50">
                  <c:v>-7.1894254555787445</c:v>
                </c:pt>
                <c:pt idx="51">
                  <c:v>-9.5842021655159471</c:v>
                </c:pt>
                <c:pt idx="52">
                  <c:v>-8.5006370618507141</c:v>
                </c:pt>
                <c:pt idx="53">
                  <c:v>-7.611106252294479</c:v>
                </c:pt>
                <c:pt idx="54">
                  <c:v>-6.9127648263461161</c:v>
                </c:pt>
                <c:pt idx="55">
                  <c:v>-3.7233518993654973</c:v>
                </c:pt>
                <c:pt idx="56">
                  <c:v>-3.085487791143438</c:v>
                </c:pt>
                <c:pt idx="57">
                  <c:v>-3.4137909128120825</c:v>
                </c:pt>
                <c:pt idx="58">
                  <c:v>-2.9782561724510233</c:v>
                </c:pt>
                <c:pt idx="59">
                  <c:v>-4.249365899430285</c:v>
                </c:pt>
                <c:pt idx="60">
                  <c:v>-5.1396739604626296</c:v>
                </c:pt>
                <c:pt idx="61">
                  <c:v>-3.8770053661041106</c:v>
                </c:pt>
                <c:pt idx="62">
                  <c:v>-4.2608143199529795</c:v>
                </c:pt>
                <c:pt idx="63">
                  <c:v>-5.3433047404307086</c:v>
                </c:pt>
                <c:pt idx="64">
                  <c:v>-3.9901384504967066</c:v>
                </c:pt>
                <c:pt idx="65">
                  <c:v>-3.7160263021692082</c:v>
                </c:pt>
                <c:pt idx="66">
                  <c:v>-1.8193628365333112</c:v>
                </c:pt>
                <c:pt idx="67">
                  <c:v>-2.6374118489171501</c:v>
                </c:pt>
                <c:pt idx="68">
                  <c:v>-1.0665851170179357</c:v>
                </c:pt>
                <c:pt idx="69">
                  <c:v>-0.7455849365762186</c:v>
                </c:pt>
                <c:pt idx="70">
                  <c:v>-0.9899302868423745</c:v>
                </c:pt>
                <c:pt idx="71">
                  <c:v>-1.2086807157692625</c:v>
                </c:pt>
                <c:pt idx="72">
                  <c:v>-0.99625444625804371</c:v>
                </c:pt>
                <c:pt idx="73">
                  <c:v>-1.2915392632429041</c:v>
                </c:pt>
                <c:pt idx="74">
                  <c:v>-1.7818143475580355</c:v>
                </c:pt>
                <c:pt idx="75">
                  <c:v>-2.005290349552328</c:v>
                </c:pt>
                <c:pt idx="76">
                  <c:v>-3.0399644061106059</c:v>
                </c:pt>
                <c:pt idx="77">
                  <c:v>-2.582807857281558</c:v>
                </c:pt>
                <c:pt idx="78">
                  <c:v>-3.0901408310004901</c:v>
                </c:pt>
                <c:pt idx="79">
                  <c:v>-2.8170477052722278</c:v>
                </c:pt>
                <c:pt idx="80">
                  <c:v>-2.2101382747976546</c:v>
                </c:pt>
                <c:pt idx="81">
                  <c:v>-0.80207066110069558</c:v>
                </c:pt>
                <c:pt idx="82">
                  <c:v>-1.5230035911209234</c:v>
                </c:pt>
                <c:pt idx="83">
                  <c:v>-2.1335156008933742</c:v>
                </c:pt>
                <c:pt idx="84">
                  <c:v>-0.78528685681351251</c:v>
                </c:pt>
                <c:pt idx="85">
                  <c:v>-1.3289195415559294</c:v>
                </c:pt>
                <c:pt idx="86">
                  <c:v>-2.5337948635738767</c:v>
                </c:pt>
                <c:pt idx="87">
                  <c:v>-4.0408072143599805</c:v>
                </c:pt>
                <c:pt idx="88">
                  <c:v>-5.7999399850022417</c:v>
                </c:pt>
                <c:pt idx="89">
                  <c:v>-5.1476325451014704</c:v>
                </c:pt>
                <c:pt idx="90">
                  <c:v>-3.0079701693023724</c:v>
                </c:pt>
                <c:pt idx="91">
                  <c:v>-4.2119332701136001</c:v>
                </c:pt>
                <c:pt idx="92">
                  <c:v>-5.7496985195779722</c:v>
                </c:pt>
                <c:pt idx="93">
                  <c:v>-5.6255197621482633</c:v>
                </c:pt>
                <c:pt idx="94">
                  <c:v>-6.2584262166332696</c:v>
                </c:pt>
                <c:pt idx="95">
                  <c:v>-6.8320347526535237</c:v>
                </c:pt>
                <c:pt idx="96">
                  <c:v>-5.3520173422013331</c:v>
                </c:pt>
                <c:pt idx="97">
                  <c:v>-4.9439832778307764</c:v>
                </c:pt>
                <c:pt idx="98">
                  <c:v>-5.9564965051270651</c:v>
                </c:pt>
                <c:pt idx="99">
                  <c:v>-5.9148367870232628</c:v>
                </c:pt>
                <c:pt idx="100">
                  <c:v>-5.0408168912318931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1D-495B-9ACA-D470FEDF6C29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GBM!$K$18:$DG$18</c:f>
              <c:numCache>
                <c:formatCode>General</c:formatCode>
                <c:ptCount val="101"/>
                <c:pt idx="0">
                  <c:v>0</c:v>
                </c:pt>
                <c:pt idx="1">
                  <c:v>0.93015057620904518</c:v>
                </c:pt>
                <c:pt idx="2">
                  <c:v>0.53197617725963953</c:v>
                </c:pt>
                <c:pt idx="3">
                  <c:v>1.1689997267147989</c:v>
                </c:pt>
                <c:pt idx="4">
                  <c:v>1.1070429430871187</c:v>
                </c:pt>
                <c:pt idx="5">
                  <c:v>0.78443531262020527</c:v>
                </c:pt>
                <c:pt idx="6">
                  <c:v>2.0147047731135852</c:v>
                </c:pt>
                <c:pt idx="7">
                  <c:v>5.5013570895855679E-2</c:v>
                </c:pt>
                <c:pt idx="8">
                  <c:v>1.2334085509698001</c:v>
                </c:pt>
                <c:pt idx="9">
                  <c:v>1.2845044913581782</c:v>
                </c:pt>
                <c:pt idx="10">
                  <c:v>1.2270613882371051</c:v>
                </c:pt>
                <c:pt idx="11">
                  <c:v>-0.29026252964727051</c:v>
                </c:pt>
                <c:pt idx="12">
                  <c:v>-0.86053853564420191</c:v>
                </c:pt>
                <c:pt idx="13">
                  <c:v>0.59255372112737903</c:v>
                </c:pt>
                <c:pt idx="14">
                  <c:v>-1.0598521744295757</c:v>
                </c:pt>
                <c:pt idx="15">
                  <c:v>-1.4210242452443103</c:v>
                </c:pt>
                <c:pt idx="16">
                  <c:v>-1.6151218860594287</c:v>
                </c:pt>
                <c:pt idx="17">
                  <c:v>-0.70763115540445254</c:v>
                </c:pt>
                <c:pt idx="18">
                  <c:v>-0.37406049131033181</c:v>
                </c:pt>
                <c:pt idx="19">
                  <c:v>-0.45236169867882953</c:v>
                </c:pt>
                <c:pt idx="20">
                  <c:v>0.94911291177490731</c:v>
                </c:pt>
                <c:pt idx="21">
                  <c:v>1.8471529817180337</c:v>
                </c:pt>
                <c:pt idx="22">
                  <c:v>1.2834111880515837</c:v>
                </c:pt>
                <c:pt idx="23">
                  <c:v>2.3860563009135323</c:v>
                </c:pt>
                <c:pt idx="24">
                  <c:v>3.8393163663584189</c:v>
                </c:pt>
                <c:pt idx="25">
                  <c:v>4.9655743552456615</c:v>
                </c:pt>
                <c:pt idx="26">
                  <c:v>4.7953974210357648</c:v>
                </c:pt>
                <c:pt idx="27">
                  <c:v>4.7049646624460282</c:v>
                </c:pt>
                <c:pt idx="28">
                  <c:v>3.1857300839822056</c:v>
                </c:pt>
                <c:pt idx="29">
                  <c:v>3.2576570610194953</c:v>
                </c:pt>
                <c:pt idx="30">
                  <c:v>2.275971252576944</c:v>
                </c:pt>
                <c:pt idx="31">
                  <c:v>1.8788424892644811</c:v>
                </c:pt>
                <c:pt idx="32">
                  <c:v>1.9120061096207452</c:v>
                </c:pt>
                <c:pt idx="33">
                  <c:v>0.73858568346617837</c:v>
                </c:pt>
                <c:pt idx="34">
                  <c:v>0.34732105433950156</c:v>
                </c:pt>
                <c:pt idx="35">
                  <c:v>0.98623497291651763</c:v>
                </c:pt>
                <c:pt idx="36">
                  <c:v>0.5942561549600327</c:v>
                </c:pt>
                <c:pt idx="37">
                  <c:v>1.3161999055504738</c:v>
                </c:pt>
                <c:pt idx="38">
                  <c:v>0.66687622721201401</c:v>
                </c:pt>
                <c:pt idx="39">
                  <c:v>1.1074121921303195</c:v>
                </c:pt>
                <c:pt idx="40">
                  <c:v>2.4992046576871818</c:v>
                </c:pt>
                <c:pt idx="41">
                  <c:v>3.3585745750508416</c:v>
                </c:pt>
                <c:pt idx="42">
                  <c:v>2.420583110373304</c:v>
                </c:pt>
                <c:pt idx="43">
                  <c:v>2.7527988685594638</c:v>
                </c:pt>
                <c:pt idx="44">
                  <c:v>3.9559326051435684</c:v>
                </c:pt>
                <c:pt idx="45">
                  <c:v>3.9454071082462931</c:v>
                </c:pt>
                <c:pt idx="46">
                  <c:v>4.7304609298861644</c:v>
                </c:pt>
                <c:pt idx="47">
                  <c:v>4.0167109282225759</c:v>
                </c:pt>
                <c:pt idx="48">
                  <c:v>4.1550722915832843</c:v>
                </c:pt>
                <c:pt idx="49">
                  <c:v>5.1306905395425497</c:v>
                </c:pt>
                <c:pt idx="50">
                  <c:v>5.0945591118481506</c:v>
                </c:pt>
                <c:pt idx="51">
                  <c:v>5.8091531688889182</c:v>
                </c:pt>
                <c:pt idx="52">
                  <c:v>4.6680773824925526</c:v>
                </c:pt>
                <c:pt idx="53">
                  <c:v>4.8591918021085281</c:v>
                </c:pt>
                <c:pt idx="54">
                  <c:v>5.3698588916144283</c:v>
                </c:pt>
                <c:pt idx="55">
                  <c:v>7.2710054249785472</c:v>
                </c:pt>
                <c:pt idx="56">
                  <c:v>8.2739101184119281</c:v>
                </c:pt>
                <c:pt idx="57">
                  <c:v>6.8588986551829514</c:v>
                </c:pt>
                <c:pt idx="58">
                  <c:v>6.5324130902862203</c:v>
                </c:pt>
                <c:pt idx="59">
                  <c:v>5.9392873998596505</c:v>
                </c:pt>
                <c:pt idx="60">
                  <c:v>6.306974677801807</c:v>
                </c:pt>
                <c:pt idx="61">
                  <c:v>6.1293319815899849</c:v>
                </c:pt>
                <c:pt idx="62">
                  <c:v>6.4370593255596198</c:v>
                </c:pt>
                <c:pt idx="63">
                  <c:v>6.5082756429253479</c:v>
                </c:pt>
                <c:pt idx="64">
                  <c:v>7.0738144325005443</c:v>
                </c:pt>
                <c:pt idx="65">
                  <c:v>8.1469870531780053</c:v>
                </c:pt>
                <c:pt idx="66">
                  <c:v>8.2100696727591878</c:v>
                </c:pt>
                <c:pt idx="67">
                  <c:v>9.2957395525964728</c:v>
                </c:pt>
                <c:pt idx="68">
                  <c:v>7.9082829748950099</c:v>
                </c:pt>
                <c:pt idx="69">
                  <c:v>7.9036761825222408</c:v>
                </c:pt>
                <c:pt idx="70">
                  <c:v>8.7312790993772218</c:v>
                </c:pt>
                <c:pt idx="71">
                  <c:v>8.4265555710639077</c:v>
                </c:pt>
                <c:pt idx="72">
                  <c:v>9.7471487630463312</c:v>
                </c:pt>
                <c:pt idx="73">
                  <c:v>10.792964223759171</c:v>
                </c:pt>
                <c:pt idx="74">
                  <c:v>10.896123205268896</c:v>
                </c:pt>
                <c:pt idx="75">
                  <c:v>11.947626799527871</c:v>
                </c:pt>
                <c:pt idx="76">
                  <c:v>12.065275853734381</c:v>
                </c:pt>
                <c:pt idx="77">
                  <c:v>10.89671938367194</c:v>
                </c:pt>
                <c:pt idx="78">
                  <c:v>10.749883539198452</c:v>
                </c:pt>
                <c:pt idx="79">
                  <c:v>8.2075966590645599</c:v>
                </c:pt>
                <c:pt idx="80">
                  <c:v>7.7264465290586442</c:v>
                </c:pt>
                <c:pt idx="81">
                  <c:v>6.4791020630992264</c:v>
                </c:pt>
                <c:pt idx="82">
                  <c:v>8.8995931850714687</c:v>
                </c:pt>
                <c:pt idx="83">
                  <c:v>10.234239371812047</c:v>
                </c:pt>
                <c:pt idx="84">
                  <c:v>8.4600126097366051</c:v>
                </c:pt>
                <c:pt idx="85">
                  <c:v>7.9875260069556289</c:v>
                </c:pt>
                <c:pt idx="86">
                  <c:v>6.7800490212354818</c:v>
                </c:pt>
                <c:pt idx="87">
                  <c:v>7.5781130448526675</c:v>
                </c:pt>
                <c:pt idx="88">
                  <c:v>8.4711484554241725</c:v>
                </c:pt>
                <c:pt idx="89">
                  <c:v>6.845112796358209</c:v>
                </c:pt>
                <c:pt idx="90">
                  <c:v>7.0574127947157228</c:v>
                </c:pt>
                <c:pt idx="91">
                  <c:v>7.278678064120176</c:v>
                </c:pt>
                <c:pt idx="92">
                  <c:v>5.1141381869543263</c:v>
                </c:pt>
                <c:pt idx="93">
                  <c:v>5.2211668507479247</c:v>
                </c:pt>
                <c:pt idx="94">
                  <c:v>4.6144577365710662</c:v>
                </c:pt>
                <c:pt idx="95">
                  <c:v>4.2718695824451789</c:v>
                </c:pt>
                <c:pt idx="96">
                  <c:v>4.3872741267278963</c:v>
                </c:pt>
                <c:pt idx="97">
                  <c:v>4.1934845813650163</c:v>
                </c:pt>
                <c:pt idx="98">
                  <c:v>4.7822569347584345</c:v>
                </c:pt>
                <c:pt idx="99">
                  <c:v>4.6012742406946945</c:v>
                </c:pt>
                <c:pt idx="100">
                  <c:v>4.5634171694277912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1D-495B-9ACA-D470FEDF6C29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GBM!$K$19:$DG$19</c:f>
              <c:numCache>
                <c:formatCode>General</c:formatCode>
                <c:ptCount val="101"/>
                <c:pt idx="0">
                  <c:v>0</c:v>
                </c:pt>
                <c:pt idx="1">
                  <c:v>-0.69147820644940705</c:v>
                </c:pt>
                <c:pt idx="2">
                  <c:v>-0.82744087528321408</c:v>
                </c:pt>
                <c:pt idx="3">
                  <c:v>-0.73839750617932864</c:v>
                </c:pt>
                <c:pt idx="4">
                  <c:v>0.88589458208649519</c:v>
                </c:pt>
                <c:pt idx="5">
                  <c:v>2.2466744839091715</c:v>
                </c:pt>
                <c:pt idx="6">
                  <c:v>2.7817073842534974</c:v>
                </c:pt>
                <c:pt idx="7">
                  <c:v>2.8216336197665264</c:v>
                </c:pt>
                <c:pt idx="8">
                  <c:v>3.117323738518806</c:v>
                </c:pt>
                <c:pt idx="9">
                  <c:v>3.1059889791628428</c:v>
                </c:pt>
                <c:pt idx="10">
                  <c:v>1.9092882282384587</c:v>
                </c:pt>
                <c:pt idx="11">
                  <c:v>2.0781506024483702</c:v>
                </c:pt>
                <c:pt idx="12">
                  <c:v>0.80217950987186337</c:v>
                </c:pt>
                <c:pt idx="13">
                  <c:v>-1.5949836188480895</c:v>
                </c:pt>
                <c:pt idx="14">
                  <c:v>-0.25973900952290951</c:v>
                </c:pt>
                <c:pt idx="15">
                  <c:v>0.34587748760425674</c:v>
                </c:pt>
                <c:pt idx="16">
                  <c:v>-0.42989602427285167</c:v>
                </c:pt>
                <c:pt idx="17">
                  <c:v>-0.32714030172164354</c:v>
                </c:pt>
                <c:pt idx="18">
                  <c:v>-1.1499076979400606</c:v>
                </c:pt>
                <c:pt idx="19">
                  <c:v>7.4912032658090544E-2</c:v>
                </c:pt>
                <c:pt idx="20">
                  <c:v>-1.0222141723050839</c:v>
                </c:pt>
                <c:pt idx="21">
                  <c:v>-0.67419037159885908</c:v>
                </c:pt>
                <c:pt idx="22">
                  <c:v>-1.0810503845780599</c:v>
                </c:pt>
                <c:pt idx="23">
                  <c:v>5.2438327033590193E-2</c:v>
                </c:pt>
                <c:pt idx="24">
                  <c:v>1.1379471708407198</c:v>
                </c:pt>
                <c:pt idx="25">
                  <c:v>1.5330616118602598</c:v>
                </c:pt>
                <c:pt idx="26">
                  <c:v>2.6607143131484996</c:v>
                </c:pt>
                <c:pt idx="27">
                  <c:v>2.1775639847866657</c:v>
                </c:pt>
                <c:pt idx="28">
                  <c:v>1.6445043726195618</c:v>
                </c:pt>
                <c:pt idx="29">
                  <c:v>0.41049208741352516</c:v>
                </c:pt>
                <c:pt idx="30">
                  <c:v>1.1282169403270386</c:v>
                </c:pt>
                <c:pt idx="31">
                  <c:v>-0.28016639728098114</c:v>
                </c:pt>
                <c:pt idx="32">
                  <c:v>-0.80666983151654503</c:v>
                </c:pt>
                <c:pt idx="33">
                  <c:v>0.15068810224417162</c:v>
                </c:pt>
                <c:pt idx="34">
                  <c:v>1.5433648508371571</c:v>
                </c:pt>
                <c:pt idx="35">
                  <c:v>2.3855292694414394</c:v>
                </c:pt>
                <c:pt idx="36">
                  <c:v>1.4000094432400005</c:v>
                </c:pt>
                <c:pt idx="37">
                  <c:v>1.4349443862344762</c:v>
                </c:pt>
                <c:pt idx="38">
                  <c:v>3.2804402112507738</c:v>
                </c:pt>
                <c:pt idx="39">
                  <c:v>2.6491436598651328</c:v>
                </c:pt>
                <c:pt idx="40">
                  <c:v>3.3804636054038908</c:v>
                </c:pt>
                <c:pt idx="41">
                  <c:v>2.4700218526519051</c:v>
                </c:pt>
                <c:pt idx="42">
                  <c:v>2.4654413504502153</c:v>
                </c:pt>
                <c:pt idx="43">
                  <c:v>3.1020148825737452</c:v>
                </c:pt>
                <c:pt idx="44">
                  <c:v>3.5100617601279205</c:v>
                </c:pt>
                <c:pt idx="45">
                  <c:v>3.946864042494461</c:v>
                </c:pt>
                <c:pt idx="46">
                  <c:v>3.3159210313098209</c:v>
                </c:pt>
                <c:pt idx="47">
                  <c:v>2.623826383229539</c:v>
                </c:pt>
                <c:pt idx="48">
                  <c:v>3.6630261314777255</c:v>
                </c:pt>
                <c:pt idx="49">
                  <c:v>2.4282242452117924</c:v>
                </c:pt>
                <c:pt idx="50">
                  <c:v>3.3675424862507413</c:v>
                </c:pt>
                <c:pt idx="51">
                  <c:v>3.5918012457348647</c:v>
                </c:pt>
                <c:pt idx="52">
                  <c:v>4.2052231079659714</c:v>
                </c:pt>
                <c:pt idx="53">
                  <c:v>3.5311278886691539</c:v>
                </c:pt>
                <c:pt idx="54">
                  <c:v>2.7886104963565912</c:v>
                </c:pt>
                <c:pt idx="55">
                  <c:v>3.1626613276260795</c:v>
                </c:pt>
                <c:pt idx="56">
                  <c:v>3.5081892088312943</c:v>
                </c:pt>
                <c:pt idx="57">
                  <c:v>3.8065017163610646</c:v>
                </c:pt>
                <c:pt idx="58">
                  <c:v>2.3081903275973836</c:v>
                </c:pt>
                <c:pt idx="59">
                  <c:v>1.5603938661313004</c:v>
                </c:pt>
                <c:pt idx="60">
                  <c:v>-1.2098728781715273</c:v>
                </c:pt>
                <c:pt idx="61">
                  <c:v>-2.695758480839376</c:v>
                </c:pt>
                <c:pt idx="62">
                  <c:v>-2.4374931487176252</c:v>
                </c:pt>
                <c:pt idx="63">
                  <c:v>-2.8274591195604413</c:v>
                </c:pt>
                <c:pt idx="64">
                  <c:v>-2.7173988270820382</c:v>
                </c:pt>
                <c:pt idx="65">
                  <c:v>-4.4336974700923353</c:v>
                </c:pt>
                <c:pt idx="66">
                  <c:v>-4.1555955786777714</c:v>
                </c:pt>
                <c:pt idx="67">
                  <c:v>-4.9394278591047174</c:v>
                </c:pt>
                <c:pt idx="68">
                  <c:v>-4.8880284407655274</c:v>
                </c:pt>
                <c:pt idx="69">
                  <c:v>-6.1130813109248319</c:v>
                </c:pt>
                <c:pt idx="70">
                  <c:v>-6.6160491288763037</c:v>
                </c:pt>
                <c:pt idx="71">
                  <c:v>-6.1808211139440719</c:v>
                </c:pt>
                <c:pt idx="72">
                  <c:v>-8.5265757243624165</c:v>
                </c:pt>
                <c:pt idx="73">
                  <c:v>-9.301370477836393</c:v>
                </c:pt>
                <c:pt idx="74">
                  <c:v>-9.147513375774631</c:v>
                </c:pt>
                <c:pt idx="75">
                  <c:v>-10.605930461435035</c:v>
                </c:pt>
                <c:pt idx="76">
                  <c:v>-10.350430175731681</c:v>
                </c:pt>
                <c:pt idx="77">
                  <c:v>-10.59963072029217</c:v>
                </c:pt>
                <c:pt idx="78">
                  <c:v>-9.7012346430972389</c:v>
                </c:pt>
                <c:pt idx="79">
                  <c:v>-9.9419882247752973</c:v>
                </c:pt>
                <c:pt idx="80">
                  <c:v>-9.7053923690600268</c:v>
                </c:pt>
                <c:pt idx="81">
                  <c:v>-9.7924405903022897</c:v>
                </c:pt>
                <c:pt idx="82">
                  <c:v>-9.8263475291463696</c:v>
                </c:pt>
                <c:pt idx="83">
                  <c:v>-9.8034357881294554</c:v>
                </c:pt>
                <c:pt idx="84">
                  <c:v>-9.534405760739654</c:v>
                </c:pt>
                <c:pt idx="85">
                  <c:v>-9.4958937708335895</c:v>
                </c:pt>
                <c:pt idx="86">
                  <c:v>-10.121616933860198</c:v>
                </c:pt>
                <c:pt idx="87">
                  <c:v>-10.198216214893026</c:v>
                </c:pt>
                <c:pt idx="88">
                  <c:v>-9.4028542473313976</c:v>
                </c:pt>
                <c:pt idx="89">
                  <c:v>-9.912143760048421</c:v>
                </c:pt>
                <c:pt idx="90">
                  <c:v>-9.2682627408847882</c:v>
                </c:pt>
                <c:pt idx="91">
                  <c:v>-9.9409528080521756</c:v>
                </c:pt>
                <c:pt idx="92">
                  <c:v>-10.589928769670045</c:v>
                </c:pt>
                <c:pt idx="93">
                  <c:v>-10.643404592661076</c:v>
                </c:pt>
                <c:pt idx="94">
                  <c:v>-10.162282224627624</c:v>
                </c:pt>
                <c:pt idx="95">
                  <c:v>-9.7249612942498178</c:v>
                </c:pt>
                <c:pt idx="96">
                  <c:v>-9.8868719515635526</c:v>
                </c:pt>
                <c:pt idx="97">
                  <c:v>-8.5254059252489718</c:v>
                </c:pt>
                <c:pt idx="98">
                  <c:v>-6.7713027576535882</c:v>
                </c:pt>
                <c:pt idx="99">
                  <c:v>-6.4745902604204453</c:v>
                </c:pt>
                <c:pt idx="100">
                  <c:v>-6.5953343843768693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01D-495B-9ACA-D470FEDF6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5114447"/>
        <c:axId val="1965125007"/>
      </c:lineChart>
      <c:catAx>
        <c:axId val="19651144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5125007"/>
        <c:crosses val="autoZero"/>
        <c:auto val="1"/>
        <c:lblAlgn val="ctr"/>
        <c:lblOffset val="100"/>
        <c:noMultiLvlLbl val="0"/>
      </c:catAx>
      <c:valAx>
        <c:axId val="196512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65114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GBM!$K$23:$DG$23</c:f>
              <c:numCache>
                <c:formatCode>General</c:formatCode>
                <c:ptCount val="101"/>
                <c:pt idx="0">
                  <c:v>0</c:v>
                </c:pt>
                <c:pt idx="1">
                  <c:v>0.54682483010418714</c:v>
                </c:pt>
                <c:pt idx="2">
                  <c:v>-0.21916753921000676</c:v>
                </c:pt>
                <c:pt idx="3">
                  <c:v>-8.2146692051288758E-2</c:v>
                </c:pt>
                <c:pt idx="4">
                  <c:v>-0.28607540631333894</c:v>
                </c:pt>
                <c:pt idx="5">
                  <c:v>-1.0542524282592571</c:v>
                </c:pt>
                <c:pt idx="6">
                  <c:v>-1.0221656435954829</c:v>
                </c:pt>
                <c:pt idx="7">
                  <c:v>0.38682378391002403</c:v>
                </c:pt>
                <c:pt idx="8">
                  <c:v>1.6010310714844764</c:v>
                </c:pt>
                <c:pt idx="9">
                  <c:v>0.80526604356127718</c:v>
                </c:pt>
                <c:pt idx="10">
                  <c:v>-1.9227763473302748</c:v>
                </c:pt>
                <c:pt idx="11">
                  <c:v>0.96561173075104301</c:v>
                </c:pt>
                <c:pt idx="12">
                  <c:v>0.11306646786665807</c:v>
                </c:pt>
                <c:pt idx="13">
                  <c:v>0.37811065319151282</c:v>
                </c:pt>
                <c:pt idx="14">
                  <c:v>-0.58603224075309979</c:v>
                </c:pt>
                <c:pt idx="15">
                  <c:v>0.88070383122643292</c:v>
                </c:pt>
                <c:pt idx="16">
                  <c:v>0.87314468412620705</c:v>
                </c:pt>
                <c:pt idx="17">
                  <c:v>-1.5744228550594284</c:v>
                </c:pt>
                <c:pt idx="18">
                  <c:v>1.123142029231796</c:v>
                </c:pt>
                <c:pt idx="19">
                  <c:v>0.14863250425820901</c:v>
                </c:pt>
                <c:pt idx="20">
                  <c:v>1.7643741096629955</c:v>
                </c:pt>
                <c:pt idx="21">
                  <c:v>2.9131243215425084</c:v>
                </c:pt>
                <c:pt idx="22">
                  <c:v>-0.24858413340685134</c:v>
                </c:pt>
                <c:pt idx="23">
                  <c:v>0.16443886026056936</c:v>
                </c:pt>
                <c:pt idx="24">
                  <c:v>-0.71101490162488312</c:v>
                </c:pt>
                <c:pt idx="25">
                  <c:v>1.6931749693067744</c:v>
                </c:pt>
                <c:pt idx="26">
                  <c:v>0.4138175582116046</c:v>
                </c:pt>
                <c:pt idx="27">
                  <c:v>0.47097385475160802</c:v>
                </c:pt>
                <c:pt idx="28">
                  <c:v>-9.3076682826808935E-2</c:v>
                </c:pt>
                <c:pt idx="29">
                  <c:v>0.30954244872400599</c:v>
                </c:pt>
                <c:pt idx="30">
                  <c:v>0.94228272773509314</c:v>
                </c:pt>
                <c:pt idx="31">
                  <c:v>-0.16312884741627723</c:v>
                </c:pt>
                <c:pt idx="32">
                  <c:v>-0.17457504472240815</c:v>
                </c:pt>
                <c:pt idx="33">
                  <c:v>0.20247107651645027</c:v>
                </c:pt>
                <c:pt idx="34">
                  <c:v>-4.6977670538023569E-2</c:v>
                </c:pt>
                <c:pt idx="35">
                  <c:v>0.64098488300643641</c:v>
                </c:pt>
                <c:pt idx="36">
                  <c:v>4.4690362044715895E-2</c:v>
                </c:pt>
                <c:pt idx="37">
                  <c:v>0.98381266837522086</c:v>
                </c:pt>
                <c:pt idx="38">
                  <c:v>-0.60257468950288662</c:v>
                </c:pt>
                <c:pt idx="39">
                  <c:v>-1.7441901908654538</c:v>
                </c:pt>
                <c:pt idx="40">
                  <c:v>5.8195539468858963E-2</c:v>
                </c:pt>
                <c:pt idx="41">
                  <c:v>0.4354059187776736</c:v>
                </c:pt>
                <c:pt idx="42">
                  <c:v>-0.54854417084061124</c:v>
                </c:pt>
                <c:pt idx="43">
                  <c:v>-0.46520939465637201</c:v>
                </c:pt>
                <c:pt idx="44">
                  <c:v>0.42451500776336298</c:v>
                </c:pt>
                <c:pt idx="45">
                  <c:v>-0.92163754288864386</c:v>
                </c:pt>
                <c:pt idx="46">
                  <c:v>1.1100136579559536</c:v>
                </c:pt>
                <c:pt idx="47">
                  <c:v>-0.18368657025007246</c:v>
                </c:pt>
                <c:pt idx="48">
                  <c:v>0.4282019627963089</c:v>
                </c:pt>
                <c:pt idx="49">
                  <c:v>-1.4630495131771184</c:v>
                </c:pt>
                <c:pt idx="50">
                  <c:v>-0.11772263889064574</c:v>
                </c:pt>
                <c:pt idx="51">
                  <c:v>0.30076476489969378</c:v>
                </c:pt>
                <c:pt idx="52">
                  <c:v>-1.3950294514931886E-2</c:v>
                </c:pt>
                <c:pt idx="53">
                  <c:v>0.32494218911528577</c:v>
                </c:pt>
                <c:pt idx="54">
                  <c:v>0.10602444819014939</c:v>
                </c:pt>
                <c:pt idx="55">
                  <c:v>6.1113754289869426E-2</c:v>
                </c:pt>
                <c:pt idx="56">
                  <c:v>1.3542323055614682</c:v>
                </c:pt>
                <c:pt idx="57">
                  <c:v>-0.45352715684638545</c:v>
                </c:pt>
                <c:pt idx="58">
                  <c:v>-1.5706424691087197</c:v>
                </c:pt>
                <c:pt idx="59">
                  <c:v>-1.7342080438300003</c:v>
                </c:pt>
                <c:pt idx="60">
                  <c:v>0.9047294013690873</c:v>
                </c:pt>
                <c:pt idx="61">
                  <c:v>-1.1071167090521066</c:v>
                </c:pt>
                <c:pt idx="62">
                  <c:v>0.29545386165828724</c:v>
                </c:pt>
                <c:pt idx="63">
                  <c:v>-1.5612825012217251</c:v>
                </c:pt>
                <c:pt idx="64">
                  <c:v>0.73034540282018279</c:v>
                </c:pt>
                <c:pt idx="65">
                  <c:v>2.1877384874576329</c:v>
                </c:pt>
                <c:pt idx="66">
                  <c:v>0.43596927632492899</c:v>
                </c:pt>
                <c:pt idx="67">
                  <c:v>1.4312010195289275</c:v>
                </c:pt>
                <c:pt idx="68">
                  <c:v>-0.11897397563371345</c:v>
                </c:pt>
                <c:pt idx="69">
                  <c:v>1.2518312688861812</c:v>
                </c:pt>
                <c:pt idx="70">
                  <c:v>1.0679261042899264</c:v>
                </c:pt>
                <c:pt idx="71">
                  <c:v>0.96246801203017596</c:v>
                </c:pt>
                <c:pt idx="72">
                  <c:v>-0.18745915659839082</c:v>
                </c:pt>
                <c:pt idx="73">
                  <c:v>0.76528960416427028</c:v>
                </c:pt>
                <c:pt idx="74">
                  <c:v>1.110718624424738</c:v>
                </c:pt>
                <c:pt idx="75">
                  <c:v>-4.9261971645398965E-2</c:v>
                </c:pt>
                <c:pt idx="76">
                  <c:v>-8.3652631246340467E-2</c:v>
                </c:pt>
                <c:pt idx="77">
                  <c:v>0.76174714104397978</c:v>
                </c:pt>
                <c:pt idx="78">
                  <c:v>-1.8866924200173292</c:v>
                </c:pt>
                <c:pt idx="79">
                  <c:v>0.64543245967663188</c:v>
                </c:pt>
                <c:pt idx="80">
                  <c:v>-0.52357315387609682</c:v>
                </c:pt>
                <c:pt idx="81">
                  <c:v>-0.7952598204224377</c:v>
                </c:pt>
                <c:pt idx="82">
                  <c:v>1.1322052262686013</c:v>
                </c:pt>
                <c:pt idx="83">
                  <c:v>1.8108479047296315</c:v>
                </c:pt>
                <c:pt idx="84">
                  <c:v>-0.53984846355031146</c:v>
                </c:pt>
                <c:pt idx="85">
                  <c:v>-0.85791953138435162</c:v>
                </c:pt>
                <c:pt idx="86">
                  <c:v>-0.61167242261619093</c:v>
                </c:pt>
                <c:pt idx="87">
                  <c:v>-0.1387657847907387</c:v>
                </c:pt>
                <c:pt idx="88">
                  <c:v>0.70031582289237504</c:v>
                </c:pt>
                <c:pt idx="89">
                  <c:v>0.12755454219651199</c:v>
                </c:pt>
                <c:pt idx="90">
                  <c:v>-0.35740159567737773</c:v>
                </c:pt>
                <c:pt idx="91">
                  <c:v>-0.10846840119288788</c:v>
                </c:pt>
                <c:pt idx="92">
                  <c:v>0.17490252380289376</c:v>
                </c:pt>
                <c:pt idx="93">
                  <c:v>-1.3982416284379291</c:v>
                </c:pt>
                <c:pt idx="94">
                  <c:v>-0.68179949056473121</c:v>
                </c:pt>
                <c:pt idx="95">
                  <c:v>1.0368780352832303</c:v>
                </c:pt>
                <c:pt idx="96">
                  <c:v>-0.59236099163103428</c:v>
                </c:pt>
                <c:pt idx="97">
                  <c:v>0.7562235839409055</c:v>
                </c:pt>
                <c:pt idx="98">
                  <c:v>-0.11365935804568672</c:v>
                </c:pt>
                <c:pt idx="99">
                  <c:v>0.96726815668733868</c:v>
                </c:pt>
                <c:pt idx="100">
                  <c:v>-0.17245960923423145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82-4502-9EFD-064617FC069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GBM!$K$24:$DG$24</c:f>
              <c:numCache>
                <c:formatCode>General</c:formatCode>
                <c:ptCount val="101"/>
                <c:pt idx="0">
                  <c:v>0</c:v>
                </c:pt>
                <c:pt idx="1">
                  <c:v>0.19858699383578024</c:v>
                </c:pt>
                <c:pt idx="2">
                  <c:v>-0.99006906047159249</c:v>
                </c:pt>
                <c:pt idx="3">
                  <c:v>-1.6546883901947822</c:v>
                </c:pt>
                <c:pt idx="4">
                  <c:v>1.0681603866643252</c:v>
                </c:pt>
                <c:pt idx="5">
                  <c:v>2.920764081675757</c:v>
                </c:pt>
                <c:pt idx="6">
                  <c:v>-0.5742145785836944</c:v>
                </c:pt>
                <c:pt idx="7">
                  <c:v>0.34531975848849533</c:v>
                </c:pt>
                <c:pt idx="8">
                  <c:v>-2.1554575447735305</c:v>
                </c:pt>
                <c:pt idx="9">
                  <c:v>-0.22323535932579994</c:v>
                </c:pt>
                <c:pt idx="10">
                  <c:v>0.7919571445035003</c:v>
                </c:pt>
                <c:pt idx="11">
                  <c:v>1.5113502396482339</c:v>
                </c:pt>
                <c:pt idx="12">
                  <c:v>4.9517837860048319E-2</c:v>
                </c:pt>
                <c:pt idx="13">
                  <c:v>0.89226736632293857</c:v>
                </c:pt>
                <c:pt idx="14">
                  <c:v>0.34957780263536375</c:v>
                </c:pt>
                <c:pt idx="15">
                  <c:v>0.19680511897821096</c:v>
                </c:pt>
                <c:pt idx="16">
                  <c:v>0.59559239142545906</c:v>
                </c:pt>
                <c:pt idx="17">
                  <c:v>-1.4309620669393357</c:v>
                </c:pt>
                <c:pt idx="18">
                  <c:v>-0.37079046108895658</c:v>
                </c:pt>
                <c:pt idx="19">
                  <c:v>2.8193194932430395E-3</c:v>
                </c:pt>
                <c:pt idx="20">
                  <c:v>-1.5072482838206009</c:v>
                </c:pt>
                <c:pt idx="21">
                  <c:v>-0.37974974716892873</c:v>
                </c:pt>
                <c:pt idx="22">
                  <c:v>-0.99584477562538143</c:v>
                </c:pt>
                <c:pt idx="23">
                  <c:v>1.1825056160483201</c:v>
                </c:pt>
                <c:pt idx="24">
                  <c:v>-8.3496616300269985E-2</c:v>
                </c:pt>
                <c:pt idx="25">
                  <c:v>-0.65090424814106806</c:v>
                </c:pt>
                <c:pt idx="26">
                  <c:v>-1.2576787512972836</c:v>
                </c:pt>
                <c:pt idx="27">
                  <c:v>-0.24933167375839593</c:v>
                </c:pt>
                <c:pt idx="28">
                  <c:v>0.87855608192017376</c:v>
                </c:pt>
                <c:pt idx="29">
                  <c:v>-0.46458102509030502</c:v>
                </c:pt>
                <c:pt idx="30">
                  <c:v>-0.74774302794713354</c:v>
                </c:pt>
                <c:pt idx="31">
                  <c:v>-0.30856187596215695</c:v>
                </c:pt>
                <c:pt idx="32">
                  <c:v>-0.21943583586794502</c:v>
                </c:pt>
                <c:pt idx="33">
                  <c:v>1.0475124823435329</c:v>
                </c:pt>
                <c:pt idx="34">
                  <c:v>8.5433037623148203E-2</c:v>
                </c:pt>
                <c:pt idx="35">
                  <c:v>0.18766165009503316</c:v>
                </c:pt>
                <c:pt idx="36">
                  <c:v>2.3980114897686273</c:v>
                </c:pt>
                <c:pt idx="37">
                  <c:v>-1.2802284263013906</c:v>
                </c:pt>
                <c:pt idx="38">
                  <c:v>0.46360091262398773</c:v>
                </c:pt>
                <c:pt idx="39">
                  <c:v>-0.33687199035044452</c:v>
                </c:pt>
                <c:pt idx="40">
                  <c:v>0.13685078049644125</c:v>
                </c:pt>
                <c:pt idx="41">
                  <c:v>-0.88924925088280526</c:v>
                </c:pt>
                <c:pt idx="42">
                  <c:v>0.43398865551183352</c:v>
                </c:pt>
                <c:pt idx="43">
                  <c:v>1.5849610200302984</c:v>
                </c:pt>
                <c:pt idx="44">
                  <c:v>1.9387765507336197</c:v>
                </c:pt>
                <c:pt idx="45">
                  <c:v>2.0386807308888244</c:v>
                </c:pt>
                <c:pt idx="46">
                  <c:v>0.65814074067840656</c:v>
                </c:pt>
                <c:pt idx="47">
                  <c:v>1.3046416425116509</c:v>
                </c:pt>
                <c:pt idx="48">
                  <c:v>2.1638277510718012E-3</c:v>
                </c:pt>
                <c:pt idx="49">
                  <c:v>-0.59312086901901706</c:v>
                </c:pt>
                <c:pt idx="50">
                  <c:v>-0.8007644758288287</c:v>
                </c:pt>
                <c:pt idx="51">
                  <c:v>0.75762199659410934</c:v>
                </c:pt>
                <c:pt idx="52">
                  <c:v>-1.4695166243773234</c:v>
                </c:pt>
                <c:pt idx="53">
                  <c:v>0.89125621147482836</c:v>
                </c:pt>
                <c:pt idx="54">
                  <c:v>1.0882421422219424</c:v>
                </c:pt>
                <c:pt idx="55">
                  <c:v>1.0579378727480782</c:v>
                </c:pt>
                <c:pt idx="56">
                  <c:v>1.165697528087952</c:v>
                </c:pt>
                <c:pt idx="57">
                  <c:v>-0.73672471281952234</c:v>
                </c:pt>
                <c:pt idx="58">
                  <c:v>0.64506469315541803</c:v>
                </c:pt>
                <c:pt idx="59">
                  <c:v>-0.16418381173189919</c:v>
                </c:pt>
                <c:pt idx="60">
                  <c:v>1.1460282095196033</c:v>
                </c:pt>
                <c:pt idx="61">
                  <c:v>3.4899600650540825E-2</c:v>
                </c:pt>
                <c:pt idx="62">
                  <c:v>-0.62109223516111389</c:v>
                </c:pt>
                <c:pt idx="63">
                  <c:v>-0.28506235391390822</c:v>
                </c:pt>
                <c:pt idx="64">
                  <c:v>0.68877946744913643</c:v>
                </c:pt>
                <c:pt idx="65">
                  <c:v>0.961534984671365</c:v>
                </c:pt>
                <c:pt idx="66">
                  <c:v>0.50476753214210657</c:v>
                </c:pt>
                <c:pt idx="67">
                  <c:v>0.92819386041817598</c:v>
                </c:pt>
                <c:pt idx="68">
                  <c:v>-1.4934927017139334</c:v>
                </c:pt>
                <c:pt idx="69">
                  <c:v>0.42344149323972102</c:v>
                </c:pt>
                <c:pt idx="70">
                  <c:v>-1.4777585507801625</c:v>
                </c:pt>
                <c:pt idx="71">
                  <c:v>1.0391887849479065</c:v>
                </c:pt>
                <c:pt idx="72">
                  <c:v>-0.12639200775384399</c:v>
                </c:pt>
                <c:pt idx="73">
                  <c:v>-7.8562049338747206E-2</c:v>
                </c:pt>
                <c:pt idx="74">
                  <c:v>-0.82107481206225874</c:v>
                </c:pt>
                <c:pt idx="75">
                  <c:v>-1.9575430402557745</c:v>
                </c:pt>
                <c:pt idx="76">
                  <c:v>-0.63065028616920482</c:v>
                </c:pt>
                <c:pt idx="77">
                  <c:v>-0.61059582838694348</c:v>
                </c:pt>
                <c:pt idx="78">
                  <c:v>0.5143370884955033</c:v>
                </c:pt>
                <c:pt idx="79">
                  <c:v>0.66012670520966454</c:v>
                </c:pt>
                <c:pt idx="80">
                  <c:v>-0.1601362586721741</c:v>
                </c:pt>
                <c:pt idx="81">
                  <c:v>-1.0519045208790299</c:v>
                </c:pt>
                <c:pt idx="82">
                  <c:v>0.15596109152175339</c:v>
                </c:pt>
                <c:pt idx="83">
                  <c:v>-0.59227287043053056</c:v>
                </c:pt>
                <c:pt idx="84">
                  <c:v>0.85372442295373696</c:v>
                </c:pt>
                <c:pt idx="85">
                  <c:v>0.15303928507094422</c:v>
                </c:pt>
                <c:pt idx="86">
                  <c:v>1.0275291929309334</c:v>
                </c:pt>
                <c:pt idx="87">
                  <c:v>5.4639475317149112E-2</c:v>
                </c:pt>
                <c:pt idx="88">
                  <c:v>0.14740672559823328</c:v>
                </c:pt>
                <c:pt idx="89">
                  <c:v>2.0948644095193609</c:v>
                </c:pt>
                <c:pt idx="90">
                  <c:v>-0.7045702495033942</c:v>
                </c:pt>
                <c:pt idx="91">
                  <c:v>-0.32409252116969273</c:v>
                </c:pt>
                <c:pt idx="92">
                  <c:v>0.69360556745995905</c:v>
                </c:pt>
                <c:pt idx="93">
                  <c:v>-0.48796512101560741</c:v>
                </c:pt>
                <c:pt idx="94">
                  <c:v>-1.2502833449813324</c:v>
                </c:pt>
                <c:pt idx="95">
                  <c:v>7.4776517101168768E-2</c:v>
                </c:pt>
                <c:pt idx="96">
                  <c:v>0.4939657410323976</c:v>
                </c:pt>
                <c:pt idx="97">
                  <c:v>-0.33000909757059849</c:v>
                </c:pt>
                <c:pt idx="98">
                  <c:v>0.73460417751171314</c:v>
                </c:pt>
                <c:pt idx="99">
                  <c:v>-2.3396099719991081</c:v>
                </c:pt>
                <c:pt idx="100">
                  <c:v>-1.5914958939249386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82-4502-9EFD-064617FC0691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GBM!$K$25:$DG$25</c:f>
              <c:numCache>
                <c:formatCode>General</c:formatCode>
                <c:ptCount val="101"/>
                <c:pt idx="0">
                  <c:v>0</c:v>
                </c:pt>
                <c:pt idx="1">
                  <c:v>-0.43197610925106339</c:v>
                </c:pt>
                <c:pt idx="2">
                  <c:v>-0.68293666342901604</c:v>
                </c:pt>
                <c:pt idx="3">
                  <c:v>-1.5518522166648629</c:v>
                </c:pt>
                <c:pt idx="4">
                  <c:v>-0.29819624643414844</c:v>
                </c:pt>
                <c:pt idx="5">
                  <c:v>0.70536902995823958</c:v>
                </c:pt>
                <c:pt idx="6">
                  <c:v>0.38410913184823503</c:v>
                </c:pt>
                <c:pt idx="7">
                  <c:v>-1.0193639199849742</c:v>
                </c:pt>
                <c:pt idx="8">
                  <c:v>1.6970747484263284</c:v>
                </c:pt>
                <c:pt idx="9">
                  <c:v>0.48149031242738916</c:v>
                </c:pt>
                <c:pt idx="10">
                  <c:v>0.13517425087664434</c:v>
                </c:pt>
                <c:pt idx="11">
                  <c:v>0.31940583339568113</c:v>
                </c:pt>
                <c:pt idx="12">
                  <c:v>0.27814411612796591</c:v>
                </c:pt>
                <c:pt idx="13">
                  <c:v>1.7246191192380644</c:v>
                </c:pt>
                <c:pt idx="14">
                  <c:v>1.2726210277378205</c:v>
                </c:pt>
                <c:pt idx="15">
                  <c:v>0.65345108827514053</c:v>
                </c:pt>
                <c:pt idx="16">
                  <c:v>-1.1835710343896235</c:v>
                </c:pt>
                <c:pt idx="17">
                  <c:v>-0.52533943495280633</c:v>
                </c:pt>
                <c:pt idx="18">
                  <c:v>0.23643925167593785</c:v>
                </c:pt>
                <c:pt idx="19">
                  <c:v>-0.78041635880604043</c:v>
                </c:pt>
                <c:pt idx="20">
                  <c:v>0.38779366640947044</c:v>
                </c:pt>
                <c:pt idx="21">
                  <c:v>2.3879902318116173</c:v>
                </c:pt>
                <c:pt idx="22">
                  <c:v>0.50631474490181849</c:v>
                </c:pt>
                <c:pt idx="23">
                  <c:v>1.4554655508198544</c:v>
                </c:pt>
                <c:pt idx="24">
                  <c:v>0.23856504116439248</c:v>
                </c:pt>
                <c:pt idx="25">
                  <c:v>0.23168216921749238</c:v>
                </c:pt>
                <c:pt idx="26">
                  <c:v>-3.3879117940736815E-2</c:v>
                </c:pt>
                <c:pt idx="27">
                  <c:v>0.15098313120012941</c:v>
                </c:pt>
                <c:pt idx="28">
                  <c:v>0.38685888527280576</c:v>
                </c:pt>
                <c:pt idx="29">
                  <c:v>-0.46475830271106633</c:v>
                </c:pt>
                <c:pt idx="30">
                  <c:v>1.3206607696238839</c:v>
                </c:pt>
                <c:pt idx="31">
                  <c:v>0.35195278963581922</c:v>
                </c:pt>
                <c:pt idx="32">
                  <c:v>-0.6718153260277655</c:v>
                </c:pt>
                <c:pt idx="33">
                  <c:v>-0.28691901479688969</c:v>
                </c:pt>
                <c:pt idx="34">
                  <c:v>3.1830997511431883E-2</c:v>
                </c:pt>
                <c:pt idx="35">
                  <c:v>-0.27651428479877099</c:v>
                </c:pt>
                <c:pt idx="36">
                  <c:v>-0.36709156158720124</c:v>
                </c:pt>
                <c:pt idx="37">
                  <c:v>-0.89575102866786671</c:v>
                </c:pt>
                <c:pt idx="38">
                  <c:v>0.90257377574252817</c:v>
                </c:pt>
                <c:pt idx="39">
                  <c:v>-0.21832909896345273</c:v>
                </c:pt>
                <c:pt idx="40">
                  <c:v>-0.62893263787691089</c:v>
                </c:pt>
                <c:pt idx="41">
                  <c:v>-0.57731287515762186</c:v>
                </c:pt>
                <c:pt idx="42">
                  <c:v>-1.3342276824366175</c:v>
                </c:pt>
                <c:pt idx="43">
                  <c:v>0.2839325191182151</c:v>
                </c:pt>
                <c:pt idx="44">
                  <c:v>1.4435355084941575</c:v>
                </c:pt>
                <c:pt idx="45">
                  <c:v>-0.55484385213605258</c:v>
                </c:pt>
                <c:pt idx="46">
                  <c:v>0.4851480432942944</c:v>
                </c:pt>
                <c:pt idx="47">
                  <c:v>-0.91115762337420203</c:v>
                </c:pt>
                <c:pt idx="48">
                  <c:v>0.20158502750758908</c:v>
                </c:pt>
                <c:pt idx="49">
                  <c:v>-1.5941545246166271</c:v>
                </c:pt>
                <c:pt idx="50">
                  <c:v>9.6791667000147852E-3</c:v>
                </c:pt>
                <c:pt idx="51">
                  <c:v>-0.36834482952088643</c:v>
                </c:pt>
                <c:pt idx="52">
                  <c:v>0.8866568671841778</c:v>
                </c:pt>
                <c:pt idx="53">
                  <c:v>9.2013680086514199E-2</c:v>
                </c:pt>
                <c:pt idx="54">
                  <c:v>-2.3128542749499807</c:v>
                </c:pt>
                <c:pt idx="55">
                  <c:v>-0.37177794858846797</c:v>
                </c:pt>
                <c:pt idx="56">
                  <c:v>-0.76400012380148064</c:v>
                </c:pt>
                <c:pt idx="57">
                  <c:v>-0.96023721003404727</c:v>
                </c:pt>
                <c:pt idx="58">
                  <c:v>-0.50284189919458078</c:v>
                </c:pt>
                <c:pt idx="59">
                  <c:v>-2.1234031116293477</c:v>
                </c:pt>
                <c:pt idx="60">
                  <c:v>1.036736947185438</c:v>
                </c:pt>
                <c:pt idx="61">
                  <c:v>-0.40326669167027085</c:v>
                </c:pt>
                <c:pt idx="62">
                  <c:v>2.1529743915743116</c:v>
                </c:pt>
                <c:pt idx="63">
                  <c:v>-1.0534497179214628</c:v>
                </c:pt>
                <c:pt idx="64">
                  <c:v>-1.0139463957000356</c:v>
                </c:pt>
                <c:pt idx="65">
                  <c:v>0.51641188223555434</c:v>
                </c:pt>
                <c:pt idx="66">
                  <c:v>-0.82816667596074844</c:v>
                </c:pt>
                <c:pt idx="67">
                  <c:v>0.99324470647605423</c:v>
                </c:pt>
                <c:pt idx="68">
                  <c:v>-0.73237774794878918</c:v>
                </c:pt>
                <c:pt idx="69">
                  <c:v>-1.0367061578102732</c:v>
                </c:pt>
                <c:pt idx="70">
                  <c:v>-0.28342628433924377</c:v>
                </c:pt>
                <c:pt idx="71">
                  <c:v>-1.292825497826777</c:v>
                </c:pt>
                <c:pt idx="72">
                  <c:v>0.45495413683259267</c:v>
                </c:pt>
                <c:pt idx="73">
                  <c:v>-1.7247477675920344</c:v>
                </c:pt>
                <c:pt idx="74">
                  <c:v>0.69023408693894983</c:v>
                </c:pt>
                <c:pt idx="75">
                  <c:v>-0.6370791931007137</c:v>
                </c:pt>
                <c:pt idx="76">
                  <c:v>-0.63460670923866791</c:v>
                </c:pt>
                <c:pt idx="77">
                  <c:v>0.50716304387074074</c:v>
                </c:pt>
                <c:pt idx="78">
                  <c:v>-7.7686498727837103E-2</c:v>
                </c:pt>
                <c:pt idx="79">
                  <c:v>0.58812720121529427</c:v>
                </c:pt>
                <c:pt idx="80">
                  <c:v>0.44958964516422223</c:v>
                </c:pt>
                <c:pt idx="81">
                  <c:v>1.277127679433061</c:v>
                </c:pt>
                <c:pt idx="82">
                  <c:v>-0.11455840795575106</c:v>
                </c:pt>
                <c:pt idx="83">
                  <c:v>-0.8853092988434067</c:v>
                </c:pt>
                <c:pt idx="84">
                  <c:v>1.7178182127872457</c:v>
                </c:pt>
                <c:pt idx="85">
                  <c:v>-0.32607332169453723</c:v>
                </c:pt>
                <c:pt idx="86">
                  <c:v>0.67471541977554872</c:v>
                </c:pt>
                <c:pt idx="87">
                  <c:v>1.1319281586350389</c:v>
                </c:pt>
                <c:pt idx="88">
                  <c:v>-0.22921131421380664</c:v>
                </c:pt>
                <c:pt idx="89">
                  <c:v>4.9337091028388819E-2</c:v>
                </c:pt>
                <c:pt idx="90">
                  <c:v>-0.23517649121897499</c:v>
                </c:pt>
                <c:pt idx="91">
                  <c:v>-0.13712651247599073</c:v>
                </c:pt>
                <c:pt idx="92">
                  <c:v>-1.2915679376185167</c:v>
                </c:pt>
                <c:pt idx="93">
                  <c:v>1.9062409523230761</c:v>
                </c:pt>
                <c:pt idx="94">
                  <c:v>-0.90065083126977197</c:v>
                </c:pt>
                <c:pt idx="95">
                  <c:v>0.61375735098242168</c:v>
                </c:pt>
                <c:pt idx="96">
                  <c:v>-1.4259880326338497</c:v>
                </c:pt>
                <c:pt idx="97">
                  <c:v>-2.3843593899615305</c:v>
                </c:pt>
                <c:pt idx="98">
                  <c:v>0.28558059345476877</c:v>
                </c:pt>
                <c:pt idx="99">
                  <c:v>-0.22205210568788142</c:v>
                </c:pt>
                <c:pt idx="100">
                  <c:v>2.0852512785652313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82-4502-9EFD-064617FC0691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GBM!$K$26:$DG$26</c:f>
              <c:numCache>
                <c:formatCode>General</c:formatCode>
                <c:ptCount val="101"/>
                <c:pt idx="0">
                  <c:v>0</c:v>
                </c:pt>
                <c:pt idx="1">
                  <c:v>-0.12110048806937998</c:v>
                </c:pt>
                <c:pt idx="2">
                  <c:v>-1.4725191333681642</c:v>
                </c:pt>
                <c:pt idx="3">
                  <c:v>0.26903234724258357</c:v>
                </c:pt>
                <c:pt idx="4">
                  <c:v>0.57617347518066198</c:v>
                </c:pt>
                <c:pt idx="5">
                  <c:v>0.3815359296096546</c:v>
                </c:pt>
                <c:pt idx="6">
                  <c:v>-0.92511799012361517</c:v>
                </c:pt>
                <c:pt idx="7">
                  <c:v>0.66525253602307655</c:v>
                </c:pt>
                <c:pt idx="8">
                  <c:v>-0.38066332732739483</c:v>
                </c:pt>
                <c:pt idx="9">
                  <c:v>0.43737914831962305</c:v>
                </c:pt>
                <c:pt idx="10">
                  <c:v>-2.4154396009902301</c:v>
                </c:pt>
                <c:pt idx="11">
                  <c:v>1.8087610002272843</c:v>
                </c:pt>
                <c:pt idx="12">
                  <c:v>0.90055281572899937</c:v>
                </c:pt>
                <c:pt idx="13">
                  <c:v>1.5347301291003168</c:v>
                </c:pt>
                <c:pt idx="14">
                  <c:v>-2.7880241632369109E-2</c:v>
                </c:pt>
                <c:pt idx="15">
                  <c:v>0.14335720479395328</c:v>
                </c:pt>
                <c:pt idx="16">
                  <c:v>0.29761886795947362</c:v>
                </c:pt>
                <c:pt idx="17">
                  <c:v>2.4665701884615018E-2</c:v>
                </c:pt>
                <c:pt idx="18">
                  <c:v>0.78567871756478369</c:v>
                </c:pt>
                <c:pt idx="19">
                  <c:v>-0.875581650897861</c:v>
                </c:pt>
                <c:pt idx="20">
                  <c:v>0.62748126561842477</c:v>
                </c:pt>
                <c:pt idx="21">
                  <c:v>2.4414167465139442</c:v>
                </c:pt>
                <c:pt idx="22">
                  <c:v>0.17662065914773678</c:v>
                </c:pt>
                <c:pt idx="23">
                  <c:v>-1.0899537073747911</c:v>
                </c:pt>
                <c:pt idx="24">
                  <c:v>1.3388051313122711</c:v>
                </c:pt>
                <c:pt idx="25">
                  <c:v>-0.67121082620727823</c:v>
                </c:pt>
                <c:pt idx="26">
                  <c:v>1.3457028639230524</c:v>
                </c:pt>
                <c:pt idx="27">
                  <c:v>0.74383702313237887</c:v>
                </c:pt>
                <c:pt idx="28">
                  <c:v>0.56810553554980847</c:v>
                </c:pt>
                <c:pt idx="29">
                  <c:v>-0.78908866161810109</c:v>
                </c:pt>
                <c:pt idx="30">
                  <c:v>0.55489096929933046</c:v>
                </c:pt>
                <c:pt idx="31">
                  <c:v>0.92551125755501285</c:v>
                </c:pt>
                <c:pt idx="32">
                  <c:v>-0.17039349429876602</c:v>
                </c:pt>
                <c:pt idx="33">
                  <c:v>1.2152912081140144</c:v>
                </c:pt>
                <c:pt idx="34">
                  <c:v>-0.34610231413032821</c:v>
                </c:pt>
                <c:pt idx="35">
                  <c:v>0.59455408896381823</c:v>
                </c:pt>
                <c:pt idx="36">
                  <c:v>-1.5492444959572509</c:v>
                </c:pt>
                <c:pt idx="37">
                  <c:v>-0.40154158206361507</c:v>
                </c:pt>
                <c:pt idx="38">
                  <c:v>1.8099568521781584</c:v>
                </c:pt>
                <c:pt idx="39">
                  <c:v>-0.6842196370975685</c:v>
                </c:pt>
                <c:pt idx="40">
                  <c:v>1.3249315594593591</c:v>
                </c:pt>
                <c:pt idx="41">
                  <c:v>0.17834137934630551</c:v>
                </c:pt>
                <c:pt idx="42">
                  <c:v>-0.16098166044027579</c:v>
                </c:pt>
                <c:pt idx="43">
                  <c:v>9.8167169176769029E-2</c:v>
                </c:pt>
                <c:pt idx="44">
                  <c:v>1.0989464733891399</c:v>
                </c:pt>
                <c:pt idx="45">
                  <c:v>0.54312689442619844</c:v>
                </c:pt>
                <c:pt idx="46">
                  <c:v>-0.79391497949957957</c:v>
                </c:pt>
                <c:pt idx="47">
                  <c:v>-0.54256771243482971</c:v>
                </c:pt>
                <c:pt idx="48">
                  <c:v>0.2776906455328722</c:v>
                </c:pt>
                <c:pt idx="49">
                  <c:v>-1.4294031523960427</c:v>
                </c:pt>
                <c:pt idx="50">
                  <c:v>0.26144723378486123</c:v>
                </c:pt>
                <c:pt idx="51">
                  <c:v>2.5436640210449135</c:v>
                </c:pt>
                <c:pt idx="52">
                  <c:v>-0.45890286903373589</c:v>
                </c:pt>
                <c:pt idx="53">
                  <c:v>-0.2672377253656632</c:v>
                </c:pt>
                <c:pt idx="54">
                  <c:v>0.82452088208168861</c:v>
                </c:pt>
                <c:pt idx="55">
                  <c:v>0.47645455839545975</c:v>
                </c:pt>
                <c:pt idx="56">
                  <c:v>-8.3434092769623047E-2</c:v>
                </c:pt>
                <c:pt idx="57">
                  <c:v>-0.27430772622612465</c:v>
                </c:pt>
                <c:pt idx="58">
                  <c:v>3.3053203845284235E-2</c:v>
                </c:pt>
                <c:pt idx="59">
                  <c:v>-0.40023098050426664</c:v>
                </c:pt>
                <c:pt idx="60">
                  <c:v>-1.5275926312664205</c:v>
                </c:pt>
                <c:pt idx="61">
                  <c:v>0.2868361487066094</c:v>
                </c:pt>
                <c:pt idx="62">
                  <c:v>0.80529016099462147</c:v>
                </c:pt>
                <c:pt idx="63">
                  <c:v>0.76088697049230392</c:v>
                </c:pt>
                <c:pt idx="64">
                  <c:v>-1.8205087293616646</c:v>
                </c:pt>
                <c:pt idx="65">
                  <c:v>0.1523768134205</c:v>
                </c:pt>
                <c:pt idx="66">
                  <c:v>-2.4464879125540842</c:v>
                </c:pt>
                <c:pt idx="67">
                  <c:v>0.68823248803974724</c:v>
                </c:pt>
                <c:pt idx="68">
                  <c:v>0.8373398349133927</c:v>
                </c:pt>
                <c:pt idx="69">
                  <c:v>0.11494870088298256</c:v>
                </c:pt>
                <c:pt idx="70">
                  <c:v>4.7222286601728093E-2</c:v>
                </c:pt>
                <c:pt idx="71">
                  <c:v>-0.43377889366580635</c:v>
                </c:pt>
                <c:pt idx="72">
                  <c:v>0.60724195703570882</c:v>
                </c:pt>
                <c:pt idx="73">
                  <c:v>0.32203048084655705</c:v>
                </c:pt>
                <c:pt idx="74">
                  <c:v>-0.51075759234300988</c:v>
                </c:pt>
                <c:pt idx="75">
                  <c:v>1.0036661061619572</c:v>
                </c:pt>
                <c:pt idx="76">
                  <c:v>-1.4292809532622759</c:v>
                </c:pt>
                <c:pt idx="77">
                  <c:v>-1.2620247012307162</c:v>
                </c:pt>
                <c:pt idx="78">
                  <c:v>-0.29119669004980658</c:v>
                </c:pt>
                <c:pt idx="79">
                  <c:v>0.25145225053821724</c:v>
                </c:pt>
                <c:pt idx="80">
                  <c:v>-0.47098246372006536</c:v>
                </c:pt>
                <c:pt idx="81">
                  <c:v>0.74633291989873407</c:v>
                </c:pt>
                <c:pt idx="82">
                  <c:v>-0.51826298215508793</c:v>
                </c:pt>
                <c:pt idx="83">
                  <c:v>-0.56055023086425093</c:v>
                </c:pt>
                <c:pt idx="84">
                  <c:v>-0.78865996986637776</c:v>
                </c:pt>
                <c:pt idx="85">
                  <c:v>0.27019373841030336</c:v>
                </c:pt>
                <c:pt idx="86">
                  <c:v>1.0397697469015899</c:v>
                </c:pt>
                <c:pt idx="87">
                  <c:v>0.61472295147115219</c:v>
                </c:pt>
                <c:pt idx="88">
                  <c:v>-0.13181462119990159</c:v>
                </c:pt>
                <c:pt idx="89">
                  <c:v>0.41960988935982529</c:v>
                </c:pt>
                <c:pt idx="90">
                  <c:v>-0.42771843291137357</c:v>
                </c:pt>
                <c:pt idx="91">
                  <c:v>0.1411885496438699</c:v>
                </c:pt>
                <c:pt idx="92">
                  <c:v>-0.12938192569913148</c:v>
                </c:pt>
                <c:pt idx="93">
                  <c:v>0.14899549898783354</c:v>
                </c:pt>
                <c:pt idx="94">
                  <c:v>-0.69128614013746037</c:v>
                </c:pt>
                <c:pt idx="95">
                  <c:v>-0.3164136550282301</c:v>
                </c:pt>
                <c:pt idx="96">
                  <c:v>-0.62937184368960453</c:v>
                </c:pt>
                <c:pt idx="97">
                  <c:v>-0.8116783213647577</c:v>
                </c:pt>
                <c:pt idx="98">
                  <c:v>-0.94522976649983204</c:v>
                </c:pt>
                <c:pt idx="99">
                  <c:v>0.16499759387069057</c:v>
                </c:pt>
                <c:pt idx="100">
                  <c:v>0.41365970246966327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82-4502-9EFD-064617FC0691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GBM!$K$27:$DG$27</c:f>
              <c:numCache>
                <c:formatCode>General</c:formatCode>
                <c:ptCount val="101"/>
                <c:pt idx="0">
                  <c:v>0</c:v>
                </c:pt>
                <c:pt idx="1">
                  <c:v>0.10170109136210984</c:v>
                </c:pt>
                <c:pt idx="2">
                  <c:v>-1.3950515905147913</c:v>
                </c:pt>
                <c:pt idx="3">
                  <c:v>0.35993280224726232</c:v>
                </c:pt>
                <c:pt idx="4">
                  <c:v>1.1048339881834859</c:v>
                </c:pt>
                <c:pt idx="5">
                  <c:v>0.21298953312062591</c:v>
                </c:pt>
                <c:pt idx="6">
                  <c:v>0.89591447676791891</c:v>
                </c:pt>
                <c:pt idx="7">
                  <c:v>-0.41146039903704529</c:v>
                </c:pt>
                <c:pt idx="8">
                  <c:v>-0.87275786324303783</c:v>
                </c:pt>
                <c:pt idx="9">
                  <c:v>-1.0011962682424695</c:v>
                </c:pt>
                <c:pt idx="10">
                  <c:v>0.93574415470523831</c:v>
                </c:pt>
                <c:pt idx="11">
                  <c:v>1.1330986577747659</c:v>
                </c:pt>
                <c:pt idx="12">
                  <c:v>-0.27770709977869723</c:v>
                </c:pt>
                <c:pt idx="13">
                  <c:v>-0.15785929864266968</c:v>
                </c:pt>
                <c:pt idx="14">
                  <c:v>1.4307272260918036</c:v>
                </c:pt>
                <c:pt idx="15">
                  <c:v>-0.20420610211665599</c:v>
                </c:pt>
                <c:pt idx="16">
                  <c:v>-1.6054116440634793E-2</c:v>
                </c:pt>
                <c:pt idx="17">
                  <c:v>-0.58108677928420449</c:v>
                </c:pt>
                <c:pt idx="18">
                  <c:v>-0.97326723662285575</c:v>
                </c:pt>
                <c:pt idx="19">
                  <c:v>-0.34575223530214566</c:v>
                </c:pt>
                <c:pt idx="20">
                  <c:v>-0.31663211369375971</c:v>
                </c:pt>
                <c:pt idx="21">
                  <c:v>-1.3363514585948517</c:v>
                </c:pt>
                <c:pt idx="22">
                  <c:v>-1.6790699828395237</c:v>
                </c:pt>
                <c:pt idx="23">
                  <c:v>-2.694785196120983</c:v>
                </c:pt>
                <c:pt idx="24">
                  <c:v>1.4611505241035865</c:v>
                </c:pt>
                <c:pt idx="25">
                  <c:v>0.35088425492836889</c:v>
                </c:pt>
                <c:pt idx="26">
                  <c:v>-0.18768343803922632</c:v>
                </c:pt>
                <c:pt idx="27">
                  <c:v>-1.4832906999607491</c:v>
                </c:pt>
                <c:pt idx="28">
                  <c:v>-1.2201355842145141</c:v>
                </c:pt>
                <c:pt idx="29">
                  <c:v>-0.22797684349018313</c:v>
                </c:pt>
                <c:pt idx="30">
                  <c:v>0.2613992014377356</c:v>
                </c:pt>
                <c:pt idx="31">
                  <c:v>0.11727294277682691</c:v>
                </c:pt>
                <c:pt idx="32">
                  <c:v>-0.89444767028808281</c:v>
                </c:pt>
                <c:pt idx="33">
                  <c:v>1.3396719816098985</c:v>
                </c:pt>
                <c:pt idx="34">
                  <c:v>1.0034856042469691</c:v>
                </c:pt>
                <c:pt idx="35">
                  <c:v>-1.6179379322305802</c:v>
                </c:pt>
                <c:pt idx="36">
                  <c:v>-0.32445980481971637</c:v>
                </c:pt>
                <c:pt idx="37">
                  <c:v>-1.5595523613705928</c:v>
                </c:pt>
                <c:pt idx="38">
                  <c:v>0.22451008732187938</c:v>
                </c:pt>
                <c:pt idx="39">
                  <c:v>0.87399707104511393</c:v>
                </c:pt>
                <c:pt idx="40">
                  <c:v>2.2150383148293433</c:v>
                </c:pt>
                <c:pt idx="41">
                  <c:v>-0.85654313980178043</c:v>
                </c:pt>
                <c:pt idx="42">
                  <c:v>-0.61321845016033216</c:v>
                </c:pt>
                <c:pt idx="43">
                  <c:v>-0.41576821763812483</c:v>
                </c:pt>
                <c:pt idx="44">
                  <c:v>-0.40621427258901405</c:v>
                </c:pt>
                <c:pt idx="45">
                  <c:v>-0.25311887769535668</c:v>
                </c:pt>
                <c:pt idx="46">
                  <c:v>-0.77620467216753819</c:v>
                </c:pt>
                <c:pt idx="47">
                  <c:v>0.27528847557442343</c:v>
                </c:pt>
                <c:pt idx="48">
                  <c:v>1.1784581711471489</c:v>
                </c:pt>
                <c:pt idx="49">
                  <c:v>-1.6849836890942578</c:v>
                </c:pt>
                <c:pt idx="50">
                  <c:v>-0.83678184121021737</c:v>
                </c:pt>
                <c:pt idx="51">
                  <c:v>7.3661222181572644E-2</c:v>
                </c:pt>
                <c:pt idx="52">
                  <c:v>-0.64031518078289862</c:v>
                </c:pt>
                <c:pt idx="53">
                  <c:v>4.2714455345731421E-2</c:v>
                </c:pt>
                <c:pt idx="54">
                  <c:v>0.74492664707546752</c:v>
                </c:pt>
                <c:pt idx="55">
                  <c:v>-0.1959108698415209</c:v>
                </c:pt>
                <c:pt idx="56">
                  <c:v>-0.89062969682149973</c:v>
                </c:pt>
                <c:pt idx="57">
                  <c:v>-0.36972708240066798</c:v>
                </c:pt>
                <c:pt idx="58">
                  <c:v>0.8342393280928756</c:v>
                </c:pt>
                <c:pt idx="59">
                  <c:v>-0.7318773625117071</c:v>
                </c:pt>
                <c:pt idx="60">
                  <c:v>-4.0748142699308466E-2</c:v>
                </c:pt>
                <c:pt idx="61">
                  <c:v>0.95208120824005271</c:v>
                </c:pt>
                <c:pt idx="62">
                  <c:v>0.53433816009578672</c:v>
                </c:pt>
                <c:pt idx="63">
                  <c:v>1.0507265778690931</c:v>
                </c:pt>
                <c:pt idx="64">
                  <c:v>-1.0250243769596714</c:v>
                </c:pt>
                <c:pt idx="65">
                  <c:v>-0.65871399576861489</c:v>
                </c:pt>
                <c:pt idx="66">
                  <c:v>0.71523152109294796</c:v>
                </c:pt>
                <c:pt idx="67">
                  <c:v>-0.55370431375862905</c:v>
                </c:pt>
                <c:pt idx="68">
                  <c:v>-0.10272145346544402</c:v>
                </c:pt>
                <c:pt idx="69">
                  <c:v>4.0978658995664337E-2</c:v>
                </c:pt>
                <c:pt idx="70">
                  <c:v>-0.37962871389830988</c:v>
                </c:pt>
                <c:pt idx="71">
                  <c:v>0.75336763447626309</c:v>
                </c:pt>
                <c:pt idx="72">
                  <c:v>-8.3950255591690878E-2</c:v>
                </c:pt>
                <c:pt idx="73">
                  <c:v>-0.17843855022038407</c:v>
                </c:pt>
                <c:pt idx="74">
                  <c:v>-0.42012492808226304</c:v>
                </c:pt>
                <c:pt idx="75">
                  <c:v>-1.5960527571514984</c:v>
                </c:pt>
                <c:pt idx="76">
                  <c:v>-0.32519282388526549</c:v>
                </c:pt>
                <c:pt idx="77">
                  <c:v>-1.1781295029552807</c:v>
                </c:pt>
                <c:pt idx="78">
                  <c:v>-0.77133627604896982</c:v>
                </c:pt>
                <c:pt idx="79">
                  <c:v>-0.9314808693876534</c:v>
                </c:pt>
                <c:pt idx="80">
                  <c:v>-0.27550331709375259</c:v>
                </c:pt>
                <c:pt idx="81">
                  <c:v>0.51740543631272129</c:v>
                </c:pt>
                <c:pt idx="82">
                  <c:v>0.22881203027929584</c:v>
                </c:pt>
                <c:pt idx="83">
                  <c:v>0.75357560876313812</c:v>
                </c:pt>
                <c:pt idx="84">
                  <c:v>9.7657586251034947E-2</c:v>
                </c:pt>
                <c:pt idx="85">
                  <c:v>0.41528854824352707</c:v>
                </c:pt>
                <c:pt idx="86">
                  <c:v>3.1951236332526702E-2</c:v>
                </c:pt>
                <c:pt idx="87">
                  <c:v>-1.0857167981687186</c:v>
                </c:pt>
                <c:pt idx="88">
                  <c:v>2.19736598308786</c:v>
                </c:pt>
                <c:pt idx="89">
                  <c:v>-1.0072020995608919</c:v>
                </c:pt>
                <c:pt idx="90">
                  <c:v>-1.4427231433937224</c:v>
                </c:pt>
                <c:pt idx="91">
                  <c:v>0.99708558565857075</c:v>
                </c:pt>
                <c:pt idx="92">
                  <c:v>-0.46801947593672749</c:v>
                </c:pt>
                <c:pt idx="93">
                  <c:v>1.4449880191135522</c:v>
                </c:pt>
                <c:pt idx="94">
                  <c:v>0.10526361048073747</c:v>
                </c:pt>
                <c:pt idx="95">
                  <c:v>0.55252807479089183</c:v>
                </c:pt>
                <c:pt idx="96">
                  <c:v>1.1207199291634944</c:v>
                </c:pt>
                <c:pt idx="97">
                  <c:v>0.99751976424916211</c:v>
                </c:pt>
                <c:pt idx="98">
                  <c:v>-0.90106034206901908</c:v>
                </c:pt>
                <c:pt idx="99">
                  <c:v>8.3269670653707245E-2</c:v>
                </c:pt>
                <c:pt idx="100">
                  <c:v>0.42492424206841217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182-4502-9EFD-064617FC0691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GBM!$K$28:$DG$28</c:f>
              <c:numCache>
                <c:formatCode>General</c:formatCode>
                <c:ptCount val="101"/>
                <c:pt idx="0">
                  <c:v>0</c:v>
                </c:pt>
                <c:pt idx="1">
                  <c:v>1.2907887495986179</c:v>
                </c:pt>
                <c:pt idx="2">
                  <c:v>-0.13172833927537128</c:v>
                </c:pt>
                <c:pt idx="3">
                  <c:v>-0.90322293423190692</c:v>
                </c:pt>
                <c:pt idx="4">
                  <c:v>0.36444240086401669</c:v>
                </c:pt>
                <c:pt idx="5">
                  <c:v>-1.4082164933672536</c:v>
                </c:pt>
                <c:pt idx="6">
                  <c:v>0.13015356694250602</c:v>
                </c:pt>
                <c:pt idx="7">
                  <c:v>2.159622306905824</c:v>
                </c:pt>
                <c:pt idx="8">
                  <c:v>-0.63349781944237815</c:v>
                </c:pt>
                <c:pt idx="9">
                  <c:v>1.4159142172239254</c:v>
                </c:pt>
                <c:pt idx="10">
                  <c:v>-0.12692767318050369</c:v>
                </c:pt>
                <c:pt idx="11">
                  <c:v>1.1560869151157755</c:v>
                </c:pt>
                <c:pt idx="12">
                  <c:v>0.51695547111416307</c:v>
                </c:pt>
                <c:pt idx="13">
                  <c:v>-0.68872509246162306</c:v>
                </c:pt>
                <c:pt idx="14">
                  <c:v>0.3371799428172278</c:v>
                </c:pt>
                <c:pt idx="15">
                  <c:v>-1.7387263306489507</c:v>
                </c:pt>
                <c:pt idx="16">
                  <c:v>0.4201781284938863</c:v>
                </c:pt>
                <c:pt idx="17">
                  <c:v>-0.49331447942637124</c:v>
                </c:pt>
                <c:pt idx="18">
                  <c:v>-0.24426010985677571</c:v>
                </c:pt>
                <c:pt idx="19">
                  <c:v>-0.14238933653186961</c:v>
                </c:pt>
                <c:pt idx="20">
                  <c:v>0.65856296882805965</c:v>
                </c:pt>
                <c:pt idx="21">
                  <c:v>-1.2453502605033031</c:v>
                </c:pt>
                <c:pt idx="22">
                  <c:v>2.1907044391582993</c:v>
                </c:pt>
                <c:pt idx="23">
                  <c:v>0.53756373293330928</c:v>
                </c:pt>
                <c:pt idx="24">
                  <c:v>0.78562731375912753</c:v>
                </c:pt>
                <c:pt idx="25">
                  <c:v>0.89830975890342102</c:v>
                </c:pt>
                <c:pt idx="26">
                  <c:v>0.53414864325981837</c:v>
                </c:pt>
                <c:pt idx="27">
                  <c:v>1.3213566767704623</c:v>
                </c:pt>
                <c:pt idx="28">
                  <c:v>0.39932620501680943</c:v>
                </c:pt>
                <c:pt idx="29">
                  <c:v>1.1434399438825191</c:v>
                </c:pt>
                <c:pt idx="30">
                  <c:v>0.99710943214761916</c:v>
                </c:pt>
                <c:pt idx="31">
                  <c:v>0.87906939472425305</c:v>
                </c:pt>
                <c:pt idx="32">
                  <c:v>-1.0266994564703369</c:v>
                </c:pt>
                <c:pt idx="33">
                  <c:v>-0.96898536956023107</c:v>
                </c:pt>
                <c:pt idx="34">
                  <c:v>0.56904967546219443</c:v>
                </c:pt>
                <c:pt idx="35">
                  <c:v>0.89330647392344087</c:v>
                </c:pt>
                <c:pt idx="36">
                  <c:v>-0.26216453040549409</c:v>
                </c:pt>
                <c:pt idx="37">
                  <c:v>-0.98783258707478616</c:v>
                </c:pt>
                <c:pt idx="38">
                  <c:v>0.70936773012966992</c:v>
                </c:pt>
                <c:pt idx="39">
                  <c:v>6.512939621625935E-2</c:v>
                </c:pt>
                <c:pt idx="40">
                  <c:v>1.5748120610134211</c:v>
                </c:pt>
                <c:pt idx="41">
                  <c:v>-0.53770027945125687</c:v>
                </c:pt>
                <c:pt idx="42">
                  <c:v>-0.60313247324803398</c:v>
                </c:pt>
                <c:pt idx="43">
                  <c:v>-0.7286823615511171</c:v>
                </c:pt>
                <c:pt idx="44">
                  <c:v>-1.3542747540894826</c:v>
                </c:pt>
                <c:pt idx="45">
                  <c:v>-1.2418856961930527</c:v>
                </c:pt>
                <c:pt idx="46">
                  <c:v>-0.4649994642905218</c:v>
                </c:pt>
                <c:pt idx="47">
                  <c:v>0.8331904746885167</c:v>
                </c:pt>
                <c:pt idx="48">
                  <c:v>-1.7195005058145076</c:v>
                </c:pt>
                <c:pt idx="49">
                  <c:v>-0.60771827373290666</c:v>
                </c:pt>
                <c:pt idx="50">
                  <c:v>-0.63626801460960014</c:v>
                </c:pt>
                <c:pt idx="51">
                  <c:v>-0.54661731595497565</c:v>
                </c:pt>
                <c:pt idx="52">
                  <c:v>0.51142512465724554</c:v>
                </c:pt>
                <c:pt idx="53">
                  <c:v>0.23529401275071501</c:v>
                </c:pt>
                <c:pt idx="54">
                  <c:v>0.2807985780086843</c:v>
                </c:pt>
                <c:pt idx="55">
                  <c:v>-0.21104413330723845</c:v>
                </c:pt>
                <c:pt idx="56">
                  <c:v>0.20779489630012318</c:v>
                </c:pt>
                <c:pt idx="57">
                  <c:v>1.0101094871682839</c:v>
                </c:pt>
                <c:pt idx="58">
                  <c:v>-1.0016548475295386</c:v>
                </c:pt>
                <c:pt idx="59">
                  <c:v>0.59809380472715101</c:v>
                </c:pt>
                <c:pt idx="60">
                  <c:v>-1.0969265437860583</c:v>
                </c:pt>
                <c:pt idx="61">
                  <c:v>-0.23913526041598307</c:v>
                </c:pt>
                <c:pt idx="62">
                  <c:v>-0.64321553319429892</c:v>
                </c:pt>
                <c:pt idx="63">
                  <c:v>-1.5503720809661334</c:v>
                </c:pt>
                <c:pt idx="64">
                  <c:v>0.62845790346530084</c:v>
                </c:pt>
                <c:pt idx="65">
                  <c:v>-0.25012876822045571</c:v>
                </c:pt>
                <c:pt idx="66">
                  <c:v>-0.30624263917524908</c:v>
                </c:pt>
                <c:pt idx="67">
                  <c:v>-0.19250344266211927</c:v>
                </c:pt>
                <c:pt idx="68">
                  <c:v>1.2581633893118847</c:v>
                </c:pt>
                <c:pt idx="69">
                  <c:v>0.88355791329123712</c:v>
                </c:pt>
                <c:pt idx="70">
                  <c:v>-1.1254443143765067</c:v>
                </c:pt>
                <c:pt idx="71">
                  <c:v>-0.31583675432208974</c:v>
                </c:pt>
                <c:pt idx="72">
                  <c:v>-1.8365404199029347</c:v>
                </c:pt>
                <c:pt idx="73">
                  <c:v>-0.17488493129126248</c:v>
                </c:pt>
                <c:pt idx="74">
                  <c:v>0.70053666814302618</c:v>
                </c:pt>
                <c:pt idx="75">
                  <c:v>-0.44405487099581448</c:v>
                </c:pt>
                <c:pt idx="76">
                  <c:v>0.13514802666254247</c:v>
                </c:pt>
                <c:pt idx="77">
                  <c:v>0.40532692403210918</c:v>
                </c:pt>
                <c:pt idx="78">
                  <c:v>0.7557870962032377</c:v>
                </c:pt>
                <c:pt idx="79">
                  <c:v>4.190467201549699E-2</c:v>
                </c:pt>
                <c:pt idx="80">
                  <c:v>-6.3321842321224328E-2</c:v>
                </c:pt>
                <c:pt idx="81">
                  <c:v>-2.9742360756263952</c:v>
                </c:pt>
                <c:pt idx="82">
                  <c:v>-0.51346011210736309</c:v>
                </c:pt>
                <c:pt idx="83">
                  <c:v>-0.3952117958266706</c:v>
                </c:pt>
                <c:pt idx="84">
                  <c:v>-1.2240712131641553</c:v>
                </c:pt>
                <c:pt idx="85">
                  <c:v>1.2920369037458355</c:v>
                </c:pt>
                <c:pt idx="86">
                  <c:v>-0.42466112737864636</c:v>
                </c:pt>
                <c:pt idx="87">
                  <c:v>0.34799295944046799</c:v>
                </c:pt>
                <c:pt idx="88">
                  <c:v>0.44567675315865807</c:v>
                </c:pt>
                <c:pt idx="89">
                  <c:v>-0.83383574764903357</c:v>
                </c:pt>
                <c:pt idx="90">
                  <c:v>1.806335512533781</c:v>
                </c:pt>
                <c:pt idx="91">
                  <c:v>1.2804382084670172</c:v>
                </c:pt>
                <c:pt idx="92">
                  <c:v>0.10837020070788697</c:v>
                </c:pt>
                <c:pt idx="93">
                  <c:v>0.22907261641890669</c:v>
                </c:pt>
                <c:pt idx="94">
                  <c:v>0.27084139696642356</c:v>
                </c:pt>
                <c:pt idx="95">
                  <c:v>0.34899796955838541</c:v>
                </c:pt>
                <c:pt idx="96">
                  <c:v>-0.11496018813409753</c:v>
                </c:pt>
                <c:pt idx="97">
                  <c:v>1.0069548523512606</c:v>
                </c:pt>
                <c:pt idx="98">
                  <c:v>-0.76225136222200485</c:v>
                </c:pt>
                <c:pt idx="99">
                  <c:v>-0.82413438224909241</c:v>
                </c:pt>
                <c:pt idx="100">
                  <c:v>-0.39578311441448177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182-4502-9EFD-064617FC0691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GBM!$K$29:$DG$29</c:f>
              <c:numCache>
                <c:formatCode>General</c:formatCode>
                <c:ptCount val="101"/>
                <c:pt idx="0">
                  <c:v>0</c:v>
                </c:pt>
                <c:pt idx="1">
                  <c:v>-0.52026680165734907</c:v>
                </c:pt>
                <c:pt idx="2">
                  <c:v>-1.1720650640091184</c:v>
                </c:pt>
                <c:pt idx="3">
                  <c:v>0.23704762942562185</c:v>
                </c:pt>
                <c:pt idx="4">
                  <c:v>0.49999817138992114</c:v>
                </c:pt>
                <c:pt idx="5">
                  <c:v>-0.9829037005991812</c:v>
                </c:pt>
                <c:pt idx="6">
                  <c:v>1.070519634576252</c:v>
                </c:pt>
                <c:pt idx="7">
                  <c:v>-0.18621357341740841</c:v>
                </c:pt>
                <c:pt idx="8">
                  <c:v>-1.1481817677253785</c:v>
                </c:pt>
                <c:pt idx="9">
                  <c:v>0.6080348238840485</c:v>
                </c:pt>
                <c:pt idx="10">
                  <c:v>0.42456132725002416</c:v>
                </c:pt>
                <c:pt idx="11">
                  <c:v>0.2024771887658362</c:v>
                </c:pt>
                <c:pt idx="12">
                  <c:v>-0.16267804250450207</c:v>
                </c:pt>
                <c:pt idx="13">
                  <c:v>-1.2360809629689031</c:v>
                </c:pt>
                <c:pt idx="14">
                  <c:v>-1.0292801175686432</c:v>
                </c:pt>
                <c:pt idx="15">
                  <c:v>1.7276962065369865</c:v>
                </c:pt>
                <c:pt idx="16">
                  <c:v>1.4057973683834404</c:v>
                </c:pt>
                <c:pt idx="17">
                  <c:v>0.99887023844503309</c:v>
                </c:pt>
                <c:pt idx="18">
                  <c:v>-0.3750931822138362</c:v>
                </c:pt>
                <c:pt idx="19">
                  <c:v>1.0089802248880646</c:v>
                </c:pt>
                <c:pt idx="20">
                  <c:v>1.2404877699435237</c:v>
                </c:pt>
                <c:pt idx="21">
                  <c:v>1.2714774592094473</c:v>
                </c:pt>
                <c:pt idx="22">
                  <c:v>-1.5894284500621885</c:v>
                </c:pt>
                <c:pt idx="23">
                  <c:v>0.39215436105467477</c:v>
                </c:pt>
                <c:pt idx="24">
                  <c:v>0.43615602501302653</c:v>
                </c:pt>
                <c:pt idx="25">
                  <c:v>0.68307771946467166</c:v>
                </c:pt>
                <c:pt idx="26">
                  <c:v>-0.89069466874276093</c:v>
                </c:pt>
                <c:pt idx="27">
                  <c:v>-0.8531090882914153</c:v>
                </c:pt>
                <c:pt idx="28">
                  <c:v>-0.75990742755950591</c:v>
                </c:pt>
                <c:pt idx="29">
                  <c:v>1.0131339492787077</c:v>
                </c:pt>
                <c:pt idx="30">
                  <c:v>0.24227093076802317</c:v>
                </c:pt>
                <c:pt idx="31">
                  <c:v>0.28356159521983626</c:v>
                </c:pt>
                <c:pt idx="32">
                  <c:v>0.77516317886718378</c:v>
                </c:pt>
                <c:pt idx="33">
                  <c:v>-1.1025048949269107</c:v>
                </c:pt>
                <c:pt idx="34">
                  <c:v>0.37382626223479076</c:v>
                </c:pt>
                <c:pt idx="35">
                  <c:v>0.49817558263667439</c:v>
                </c:pt>
                <c:pt idx="36">
                  <c:v>0.82604841667061835</c:v>
                </c:pt>
                <c:pt idx="37">
                  <c:v>0.51733512100087731</c:v>
                </c:pt>
                <c:pt idx="38">
                  <c:v>0.71901936756564722</c:v>
                </c:pt>
                <c:pt idx="39">
                  <c:v>0.41019961504289487</c:v>
                </c:pt>
                <c:pt idx="40">
                  <c:v>-0.50624060124873826</c:v>
                </c:pt>
                <c:pt idx="41">
                  <c:v>-1.000294359540006</c:v>
                </c:pt>
                <c:pt idx="42">
                  <c:v>0.71840352269623042</c:v>
                </c:pt>
                <c:pt idx="43">
                  <c:v>-0.29051237934941498</c:v>
                </c:pt>
                <c:pt idx="44">
                  <c:v>0.99186236620144907</c:v>
                </c:pt>
                <c:pt idx="45">
                  <c:v>-1.3525196941923379</c:v>
                </c:pt>
                <c:pt idx="46">
                  <c:v>0.1363613130795216</c:v>
                </c:pt>
                <c:pt idx="47">
                  <c:v>-1.0447429082011219</c:v>
                </c:pt>
                <c:pt idx="48">
                  <c:v>-0.73027318636593463</c:v>
                </c:pt>
                <c:pt idx="49">
                  <c:v>-0.70352356878806599</c:v>
                </c:pt>
                <c:pt idx="50">
                  <c:v>0.5135718689303258</c:v>
                </c:pt>
                <c:pt idx="51">
                  <c:v>0.65810094095241778</c:v>
                </c:pt>
                <c:pt idx="52">
                  <c:v>-2.2082834393838215</c:v>
                </c:pt>
                <c:pt idx="53">
                  <c:v>0.17119929387161378</c:v>
                </c:pt>
                <c:pt idx="54">
                  <c:v>0.93792036305909143</c:v>
                </c:pt>
                <c:pt idx="55">
                  <c:v>0.30530449593031422</c:v>
                </c:pt>
                <c:pt idx="56">
                  <c:v>-0.38703969501052343</c:v>
                </c:pt>
                <c:pt idx="57">
                  <c:v>-0.67977406606768953</c:v>
                </c:pt>
                <c:pt idx="58">
                  <c:v>0.20630155807478268</c:v>
                </c:pt>
                <c:pt idx="59">
                  <c:v>0.48984329975343566</c:v>
                </c:pt>
                <c:pt idx="60">
                  <c:v>0.26069287156802134</c:v>
                </c:pt>
                <c:pt idx="61">
                  <c:v>-0.65442727600686523</c:v>
                </c:pt>
                <c:pt idx="62">
                  <c:v>1.3734580371785925</c:v>
                </c:pt>
                <c:pt idx="63">
                  <c:v>-4.7573447066735053E-2</c:v>
                </c:pt>
                <c:pt idx="64">
                  <c:v>-0.46195164838127761</c:v>
                </c:pt>
                <c:pt idx="65">
                  <c:v>-0.47867255690014998</c:v>
                </c:pt>
                <c:pt idx="66">
                  <c:v>0.73271195351880503</c:v>
                </c:pt>
                <c:pt idx="67">
                  <c:v>-1.9097764146434388</c:v>
                </c:pt>
                <c:pt idx="68">
                  <c:v>0.63601137369279159</c:v>
                </c:pt>
                <c:pt idx="69">
                  <c:v>1.4049215555391927</c:v>
                </c:pt>
                <c:pt idx="70">
                  <c:v>0.95503016290518261</c:v>
                </c:pt>
                <c:pt idx="71">
                  <c:v>-0.75338812204157257</c:v>
                </c:pt>
                <c:pt idx="72">
                  <c:v>0.62905716067572492</c:v>
                </c:pt>
                <c:pt idx="73">
                  <c:v>0.2237401736484555</c:v>
                </c:pt>
                <c:pt idx="74">
                  <c:v>1.5604126302335162</c:v>
                </c:pt>
                <c:pt idx="75">
                  <c:v>0.30441713757053251</c:v>
                </c:pt>
                <c:pt idx="76">
                  <c:v>0.21838116346467248</c:v>
                </c:pt>
                <c:pt idx="77">
                  <c:v>0.81145742643857754</c:v>
                </c:pt>
                <c:pt idx="78">
                  <c:v>0.55079412706555697</c:v>
                </c:pt>
                <c:pt idx="79">
                  <c:v>0.37512376864395203</c:v>
                </c:pt>
                <c:pt idx="80">
                  <c:v>1.1586457350906412</c:v>
                </c:pt>
                <c:pt idx="81">
                  <c:v>1.1299153974711926</c:v>
                </c:pt>
                <c:pt idx="82">
                  <c:v>1.2909794737557621</c:v>
                </c:pt>
                <c:pt idx="83">
                  <c:v>0.85201748711447001</c:v>
                </c:pt>
                <c:pt idx="84">
                  <c:v>0.20726273976753964</c:v>
                </c:pt>
                <c:pt idx="85">
                  <c:v>-2.3169039020144075</c:v>
                </c:pt>
                <c:pt idx="86">
                  <c:v>0.14306051843297762</c:v>
                </c:pt>
                <c:pt idx="87">
                  <c:v>-0.80385272328995272</c:v>
                </c:pt>
                <c:pt idx="88">
                  <c:v>1.8522141131502785</c:v>
                </c:pt>
                <c:pt idx="89">
                  <c:v>0.64754183099113305</c:v>
                </c:pt>
                <c:pt idx="90">
                  <c:v>-0.3425942573673339</c:v>
                </c:pt>
                <c:pt idx="91">
                  <c:v>-0.69838761055196263</c:v>
                </c:pt>
                <c:pt idx="92">
                  <c:v>-0.65431740995096332</c:v>
                </c:pt>
                <c:pt idx="93">
                  <c:v>0.21392857534170165</c:v>
                </c:pt>
                <c:pt idx="94">
                  <c:v>0.61341248074364807</c:v>
                </c:pt>
                <c:pt idx="95">
                  <c:v>0.36087165620924649</c:v>
                </c:pt>
                <c:pt idx="96">
                  <c:v>0.82605361352274864</c:v>
                </c:pt>
                <c:pt idx="97">
                  <c:v>0.4753417615646825</c:v>
                </c:pt>
                <c:pt idx="98">
                  <c:v>-0.47261991375900358</c:v>
                </c:pt>
                <c:pt idx="99">
                  <c:v>-1.9292360469908166E-2</c:v>
                </c:pt>
                <c:pt idx="100">
                  <c:v>0.41129909053048092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182-4502-9EFD-064617FC0691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GBM!$K$30:$DG$30</c:f>
              <c:numCache>
                <c:formatCode>General</c:formatCode>
                <c:ptCount val="101"/>
                <c:pt idx="0">
                  <c:v>0</c:v>
                </c:pt>
                <c:pt idx="1">
                  <c:v>0.23784000659909116</c:v>
                </c:pt>
                <c:pt idx="2">
                  <c:v>1.2868138868156136</c:v>
                </c:pt>
                <c:pt idx="3">
                  <c:v>1.487572843703258</c:v>
                </c:pt>
                <c:pt idx="4">
                  <c:v>0.58148109974589357</c:v>
                </c:pt>
                <c:pt idx="5">
                  <c:v>0.75212006286500832</c:v>
                </c:pt>
                <c:pt idx="6">
                  <c:v>0.19517303072012268</c:v>
                </c:pt>
                <c:pt idx="7">
                  <c:v>0.79266967833653557</c:v>
                </c:pt>
                <c:pt idx="8">
                  <c:v>0.69403596443055671</c:v>
                </c:pt>
                <c:pt idx="9">
                  <c:v>0.8558533499320552</c:v>
                </c:pt>
                <c:pt idx="10">
                  <c:v>1.3150991314395086</c:v>
                </c:pt>
                <c:pt idx="11">
                  <c:v>-1.0992711298519084</c:v>
                </c:pt>
                <c:pt idx="12">
                  <c:v>2.5679819453482624</c:v>
                </c:pt>
                <c:pt idx="13">
                  <c:v>0.30236936049820329</c:v>
                </c:pt>
                <c:pt idx="14">
                  <c:v>0.80367724467348545</c:v>
                </c:pt>
                <c:pt idx="15">
                  <c:v>-0.94447180638507156</c:v>
                </c:pt>
                <c:pt idx="16">
                  <c:v>0.58292160848312091</c:v>
                </c:pt>
                <c:pt idx="17">
                  <c:v>0.44683304211893915</c:v>
                </c:pt>
                <c:pt idx="18">
                  <c:v>-0.70190800739727732</c:v>
                </c:pt>
                <c:pt idx="19">
                  <c:v>1.3396626740337481</c:v>
                </c:pt>
                <c:pt idx="20">
                  <c:v>1.2045746166064815</c:v>
                </c:pt>
                <c:pt idx="21">
                  <c:v>0.36630923084350947</c:v>
                </c:pt>
                <c:pt idx="22">
                  <c:v>-0.56975290803277112</c:v>
                </c:pt>
                <c:pt idx="23">
                  <c:v>0.17108147704698004</c:v>
                </c:pt>
                <c:pt idx="24">
                  <c:v>-0.11583531985749435</c:v>
                </c:pt>
                <c:pt idx="25">
                  <c:v>7.2479069433923099E-2</c:v>
                </c:pt>
                <c:pt idx="26">
                  <c:v>3.1658718337499843E-2</c:v>
                </c:pt>
                <c:pt idx="27">
                  <c:v>-0.44319049674315319</c:v>
                </c:pt>
                <c:pt idx="28">
                  <c:v>-1.5556206042767102</c:v>
                </c:pt>
                <c:pt idx="29">
                  <c:v>-1.1447026187306701</c:v>
                </c:pt>
                <c:pt idx="30">
                  <c:v>-0.71688470874671117</c:v>
                </c:pt>
                <c:pt idx="31">
                  <c:v>0.29408496491176966</c:v>
                </c:pt>
                <c:pt idx="32">
                  <c:v>0.59106754004354967</c:v>
                </c:pt>
                <c:pt idx="33">
                  <c:v>0.19982643561000393</c:v>
                </c:pt>
                <c:pt idx="34">
                  <c:v>1.5174096673798256</c:v>
                </c:pt>
                <c:pt idx="35">
                  <c:v>0.17463343947807314</c:v>
                </c:pt>
                <c:pt idx="36">
                  <c:v>1.3685132842994674</c:v>
                </c:pt>
                <c:pt idx="37">
                  <c:v>-0.99560681343479307</c:v>
                </c:pt>
                <c:pt idx="38">
                  <c:v>0.63272639699929489</c:v>
                </c:pt>
                <c:pt idx="39">
                  <c:v>1.2830933221113625</c:v>
                </c:pt>
                <c:pt idx="40">
                  <c:v>-0.22775283767962767</c:v>
                </c:pt>
                <c:pt idx="41">
                  <c:v>-1.2594658620936603</c:v>
                </c:pt>
                <c:pt idx="42">
                  <c:v>-0.44833808720841895</c:v>
                </c:pt>
                <c:pt idx="43">
                  <c:v>0.42326950896146326</c:v>
                </c:pt>
                <c:pt idx="44">
                  <c:v>-0.5353188971593974</c:v>
                </c:pt>
                <c:pt idx="45">
                  <c:v>2.7621624147808169E-2</c:v>
                </c:pt>
                <c:pt idx="46">
                  <c:v>0.2252408294907825</c:v>
                </c:pt>
                <c:pt idx="47">
                  <c:v>1.0540654180045783</c:v>
                </c:pt>
                <c:pt idx="48">
                  <c:v>-0.60927190994988767</c:v>
                </c:pt>
                <c:pt idx="49">
                  <c:v>1.0136553214222848</c:v>
                </c:pt>
                <c:pt idx="50">
                  <c:v>0.32410881744732056</c:v>
                </c:pt>
                <c:pt idx="51">
                  <c:v>2.1961104753555971</c:v>
                </c:pt>
                <c:pt idx="52">
                  <c:v>-0.85347125284776137</c:v>
                </c:pt>
                <c:pt idx="53">
                  <c:v>-0.84761482320398207</c:v>
                </c:pt>
                <c:pt idx="54">
                  <c:v>-0.94406052216146996</c:v>
                </c:pt>
                <c:pt idx="55">
                  <c:v>-0.6073982748506479</c:v>
                </c:pt>
                <c:pt idx="56">
                  <c:v>0.11151981165867526</c:v>
                </c:pt>
                <c:pt idx="57">
                  <c:v>0.84149647266786731</c:v>
                </c:pt>
                <c:pt idx="58">
                  <c:v>0.5424842387718648</c:v>
                </c:pt>
                <c:pt idx="59">
                  <c:v>-0.98642078591359483</c:v>
                </c:pt>
                <c:pt idx="60">
                  <c:v>0.67246863718626304</c:v>
                </c:pt>
                <c:pt idx="61">
                  <c:v>-1.489262844739119</c:v>
                </c:pt>
                <c:pt idx="62">
                  <c:v>0.95003503568193048</c:v>
                </c:pt>
                <c:pt idx="63">
                  <c:v>-0.25825451678613376</c:v>
                </c:pt>
                <c:pt idx="64">
                  <c:v>7.6976664582862564E-2</c:v>
                </c:pt>
                <c:pt idx="65">
                  <c:v>0.85998347577892142</c:v>
                </c:pt>
                <c:pt idx="66">
                  <c:v>2.3868664084259672</c:v>
                </c:pt>
                <c:pt idx="67">
                  <c:v>2.0572891208148687</c:v>
                </c:pt>
                <c:pt idx="68">
                  <c:v>0.22733497888618917</c:v>
                </c:pt>
                <c:pt idx="69">
                  <c:v>0.41059470130042347</c:v>
                </c:pt>
                <c:pt idx="70">
                  <c:v>0.89748893389333839</c:v>
                </c:pt>
                <c:pt idx="71">
                  <c:v>-0.59708389708421417</c:v>
                </c:pt>
                <c:pt idx="72">
                  <c:v>0.35748075137348534</c:v>
                </c:pt>
                <c:pt idx="73">
                  <c:v>-0.12868398346093446</c:v>
                </c:pt>
                <c:pt idx="74">
                  <c:v>-0.89084147504451594</c:v>
                </c:pt>
                <c:pt idx="75">
                  <c:v>-0.94158630549059696</c:v>
                </c:pt>
                <c:pt idx="76">
                  <c:v>0.8210902721001343</c:v>
                </c:pt>
                <c:pt idx="77">
                  <c:v>0.39251925600162957</c:v>
                </c:pt>
                <c:pt idx="78">
                  <c:v>-1.0256888156354116</c:v>
                </c:pt>
                <c:pt idx="79">
                  <c:v>-0.8442935943527311</c:v>
                </c:pt>
                <c:pt idx="80">
                  <c:v>1.4487281604544378</c:v>
                </c:pt>
                <c:pt idx="81">
                  <c:v>0.68797441266604131</c:v>
                </c:pt>
                <c:pt idx="82">
                  <c:v>0.47037887478416313</c:v>
                </c:pt>
                <c:pt idx="83">
                  <c:v>-0.12617254234688241</c:v>
                </c:pt>
                <c:pt idx="84">
                  <c:v>-0.59313996033332694</c:v>
                </c:pt>
                <c:pt idx="85">
                  <c:v>1.8125288539895206</c:v>
                </c:pt>
                <c:pt idx="86">
                  <c:v>-0.36213318646508669</c:v>
                </c:pt>
                <c:pt idx="87">
                  <c:v>-1.425688004807466</c:v>
                </c:pt>
                <c:pt idx="88">
                  <c:v>0.18084629418970638</c:v>
                </c:pt>
                <c:pt idx="89">
                  <c:v>0.39431007327287632</c:v>
                </c:pt>
                <c:pt idx="90">
                  <c:v>-0.61856525711486854</c:v>
                </c:pt>
                <c:pt idx="91">
                  <c:v>-1.0047302591107601</c:v>
                </c:pt>
                <c:pt idx="92">
                  <c:v>0.3104608380034134</c:v>
                </c:pt>
                <c:pt idx="93">
                  <c:v>0.3080706397633648</c:v>
                </c:pt>
                <c:pt idx="94">
                  <c:v>0.33180018325319272</c:v>
                </c:pt>
                <c:pt idx="95">
                  <c:v>-0.16505052603555953</c:v>
                </c:pt>
                <c:pt idx="96">
                  <c:v>-0.23962769209462401</c:v>
                </c:pt>
                <c:pt idx="97">
                  <c:v>2.4203731121535013</c:v>
                </c:pt>
                <c:pt idx="98">
                  <c:v>-1.79583847259068</c:v>
                </c:pt>
                <c:pt idx="99">
                  <c:v>1.5913125049643675</c:v>
                </c:pt>
                <c:pt idx="100">
                  <c:v>0.21883619936363544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182-4502-9EFD-064617FC0691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GBM!$K$31:$DG$31</c:f>
              <c:numCache>
                <c:formatCode>General</c:formatCode>
                <c:ptCount val="101"/>
                <c:pt idx="0">
                  <c:v>0</c:v>
                </c:pt>
                <c:pt idx="1">
                  <c:v>-0.46166284362262922</c:v>
                </c:pt>
                <c:pt idx="2">
                  <c:v>-0.14738505482284819</c:v>
                </c:pt>
                <c:pt idx="3">
                  <c:v>1.2382640440773549</c:v>
                </c:pt>
                <c:pt idx="4">
                  <c:v>1.1607166069149297</c:v>
                </c:pt>
                <c:pt idx="5">
                  <c:v>0.3779785074595744</c:v>
                </c:pt>
                <c:pt idx="6">
                  <c:v>-1.344056459465808</c:v>
                </c:pt>
                <c:pt idx="7">
                  <c:v>-1.4970594287116779</c:v>
                </c:pt>
                <c:pt idx="8">
                  <c:v>0.64180312120139693</c:v>
                </c:pt>
                <c:pt idx="9">
                  <c:v>-0.31578750422534635</c:v>
                </c:pt>
                <c:pt idx="10">
                  <c:v>0.55243879936481177</c:v>
                </c:pt>
                <c:pt idx="11">
                  <c:v>-0.65376377503264504</c:v>
                </c:pt>
                <c:pt idx="12">
                  <c:v>0.26668486510954698</c:v>
                </c:pt>
                <c:pt idx="13">
                  <c:v>-0.35333900531896956</c:v>
                </c:pt>
                <c:pt idx="14">
                  <c:v>0.5250369561332966</c:v>
                </c:pt>
                <c:pt idx="15">
                  <c:v>-0.93150841121932093</c:v>
                </c:pt>
                <c:pt idx="16">
                  <c:v>0.27674981937281296</c:v>
                </c:pt>
                <c:pt idx="17">
                  <c:v>-0.73407182223219059</c:v>
                </c:pt>
                <c:pt idx="18">
                  <c:v>-3.0749231189935879</c:v>
                </c:pt>
                <c:pt idx="19">
                  <c:v>0.15568756870593414</c:v>
                </c:pt>
                <c:pt idx="20">
                  <c:v>-0.13243627763591781</c:v>
                </c:pt>
                <c:pt idx="21">
                  <c:v>-0.60519236468341431</c:v>
                </c:pt>
                <c:pt idx="22">
                  <c:v>7.4633427077869824E-2</c:v>
                </c:pt>
                <c:pt idx="23">
                  <c:v>-0.39719585561445425</c:v>
                </c:pt>
                <c:pt idx="24">
                  <c:v>-6.6082395132856256E-2</c:v>
                </c:pt>
                <c:pt idx="25">
                  <c:v>1.3900470512595644</c:v>
                </c:pt>
                <c:pt idx="26">
                  <c:v>0.96393838510907126</c:v>
                </c:pt>
                <c:pt idx="27">
                  <c:v>-1.1178028282896093</c:v>
                </c:pt>
                <c:pt idx="28">
                  <c:v>1.1082313457971114</c:v>
                </c:pt>
                <c:pt idx="29">
                  <c:v>-1.0368542256962152</c:v>
                </c:pt>
                <c:pt idx="30">
                  <c:v>-0.49312623877309958</c:v>
                </c:pt>
                <c:pt idx="31">
                  <c:v>-0.95206876296408161</c:v>
                </c:pt>
                <c:pt idx="32">
                  <c:v>1.2764581770271279</c:v>
                </c:pt>
                <c:pt idx="33">
                  <c:v>-0.91593185667943688</c:v>
                </c:pt>
                <c:pt idx="34">
                  <c:v>-0.75473822342936026</c:v>
                </c:pt>
                <c:pt idx="35">
                  <c:v>0.84972297358756144</c:v>
                </c:pt>
                <c:pt idx="36">
                  <c:v>-1.338714724431731</c:v>
                </c:pt>
                <c:pt idx="37">
                  <c:v>1.3455839917440575</c:v>
                </c:pt>
                <c:pt idx="38">
                  <c:v>-1.2304323854088723</c:v>
                </c:pt>
                <c:pt idx="39">
                  <c:v>0.50168667124774069</c:v>
                </c:pt>
                <c:pt idx="40">
                  <c:v>1.1638294350287817</c:v>
                </c:pt>
                <c:pt idx="41">
                  <c:v>0.98384552911106671</c:v>
                </c:pt>
                <c:pt idx="42">
                  <c:v>1.7025534641339779</c:v>
                </c:pt>
                <c:pt idx="43">
                  <c:v>0.65230282021838559</c:v>
                </c:pt>
                <c:pt idx="44">
                  <c:v>-2.1006174214975779</c:v>
                </c:pt>
                <c:pt idx="45">
                  <c:v>0.52686550704105362</c:v>
                </c:pt>
                <c:pt idx="46">
                  <c:v>-0.71908948212869983</c:v>
                </c:pt>
                <c:pt idx="47">
                  <c:v>-2.0130266964401518</c:v>
                </c:pt>
                <c:pt idx="48">
                  <c:v>-1.438103116585784</c:v>
                </c:pt>
                <c:pt idx="49">
                  <c:v>0.46327813386683309</c:v>
                </c:pt>
                <c:pt idx="50">
                  <c:v>-0.60682722026176661</c:v>
                </c:pt>
                <c:pt idx="51">
                  <c:v>-1.1925767535314304</c:v>
                </c:pt>
                <c:pt idx="52">
                  <c:v>-0.82503226693249243</c:v>
                </c:pt>
                <c:pt idx="53">
                  <c:v>-0.10697111515545872</c:v>
                </c:pt>
                <c:pt idx="54">
                  <c:v>0.43098376761004015</c:v>
                </c:pt>
                <c:pt idx="55">
                  <c:v>-0.59471106179410083</c:v>
                </c:pt>
                <c:pt idx="56">
                  <c:v>0.54355104289394574</c:v>
                </c:pt>
                <c:pt idx="57">
                  <c:v>-2.0280798862145115</c:v>
                </c:pt>
                <c:pt idx="58">
                  <c:v>0.41728899092230581</c:v>
                </c:pt>
                <c:pt idx="59">
                  <c:v>0.47772585636746434</c:v>
                </c:pt>
                <c:pt idx="60">
                  <c:v>-0.31500238843624084</c:v>
                </c:pt>
                <c:pt idx="61">
                  <c:v>0.14597109489821466</c:v>
                </c:pt>
                <c:pt idx="62">
                  <c:v>-0.7939367693338667</c:v>
                </c:pt>
                <c:pt idx="63">
                  <c:v>-0.43977309266067038</c:v>
                </c:pt>
                <c:pt idx="64">
                  <c:v>0.47706990370397923</c:v>
                </c:pt>
                <c:pt idx="65">
                  <c:v>-0.19280575154101934</c:v>
                </c:pt>
                <c:pt idx="66">
                  <c:v>0.97420435787591853</c:v>
                </c:pt>
                <c:pt idx="67">
                  <c:v>0.41324783845138813</c:v>
                </c:pt>
                <c:pt idx="68">
                  <c:v>0.33681465413932937</c:v>
                </c:pt>
                <c:pt idx="69">
                  <c:v>1.5211143964696854</c:v>
                </c:pt>
                <c:pt idx="70">
                  <c:v>1.4002249485335845</c:v>
                </c:pt>
                <c:pt idx="71">
                  <c:v>-0.72281217414964516</c:v>
                </c:pt>
                <c:pt idx="72">
                  <c:v>-0.58814027071611719</c:v>
                </c:pt>
                <c:pt idx="73">
                  <c:v>0.42214226669376165</c:v>
                </c:pt>
                <c:pt idx="74">
                  <c:v>1.0878404260082708</c:v>
                </c:pt>
                <c:pt idx="75">
                  <c:v>-1.9888590435743674</c:v>
                </c:pt>
                <c:pt idx="76">
                  <c:v>0.78046569429535773</c:v>
                </c:pt>
                <c:pt idx="77">
                  <c:v>-0.50765803171427748</c:v>
                </c:pt>
                <c:pt idx="78">
                  <c:v>0.1205785467561781</c:v>
                </c:pt>
                <c:pt idx="79">
                  <c:v>-0.48134565533308715</c:v>
                </c:pt>
                <c:pt idx="80">
                  <c:v>-1.4925965433449846</c:v>
                </c:pt>
                <c:pt idx="81">
                  <c:v>0.49504110192674816</c:v>
                </c:pt>
                <c:pt idx="82">
                  <c:v>0.72368503371748838</c:v>
                </c:pt>
                <c:pt idx="83">
                  <c:v>-0.61928822052177113</c:v>
                </c:pt>
                <c:pt idx="84">
                  <c:v>-0.62946572783408328</c:v>
                </c:pt>
                <c:pt idx="85">
                  <c:v>-1.4903156743344639</c:v>
                </c:pt>
                <c:pt idx="86">
                  <c:v>0.18387077747249606</c:v>
                </c:pt>
                <c:pt idx="87">
                  <c:v>-0.57711996589360204</c:v>
                </c:pt>
                <c:pt idx="88">
                  <c:v>0.83829174886309987</c:v>
                </c:pt>
                <c:pt idx="89">
                  <c:v>-1.4040230882077729</c:v>
                </c:pt>
                <c:pt idx="90">
                  <c:v>0.56082730122067082</c:v>
                </c:pt>
                <c:pt idx="91">
                  <c:v>-0.91753143258534053</c:v>
                </c:pt>
                <c:pt idx="92">
                  <c:v>-0.25158488591443529</c:v>
                </c:pt>
                <c:pt idx="93">
                  <c:v>-1.4571068359279031</c:v>
                </c:pt>
                <c:pt idx="94">
                  <c:v>0.21554665242129811</c:v>
                </c:pt>
                <c:pt idx="95">
                  <c:v>1.1752774795123613</c:v>
                </c:pt>
                <c:pt idx="96">
                  <c:v>0.71152537898922696</c:v>
                </c:pt>
                <c:pt idx="97">
                  <c:v>0.31063573453520515</c:v>
                </c:pt>
                <c:pt idx="98">
                  <c:v>1.767146842909088</c:v>
                </c:pt>
                <c:pt idx="99">
                  <c:v>-0.75720373464866364</c:v>
                </c:pt>
                <c:pt idx="100">
                  <c:v>0.17384141216576501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182-4502-9EFD-064617FC0691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GBM!$K$32:$DG$32</c:f>
              <c:numCache>
                <c:formatCode>General</c:formatCode>
                <c:ptCount val="101"/>
                <c:pt idx="0">
                  <c:v>0</c:v>
                </c:pt>
                <c:pt idx="1">
                  <c:v>0.76664362149773346</c:v>
                </c:pt>
                <c:pt idx="2">
                  <c:v>-0.50998341143482373</c:v>
                </c:pt>
                <c:pt idx="3">
                  <c:v>-0.77484209212399169</c:v>
                </c:pt>
                <c:pt idx="4">
                  <c:v>-0.20731855429619772</c:v>
                </c:pt>
                <c:pt idx="5">
                  <c:v>-0.3932730951958831</c:v>
                </c:pt>
                <c:pt idx="6">
                  <c:v>0.14261755163915663</c:v>
                </c:pt>
                <c:pt idx="7">
                  <c:v>-0.10370603490676575</c:v>
                </c:pt>
                <c:pt idx="8">
                  <c:v>-0.51194445376789477</c:v>
                </c:pt>
                <c:pt idx="9">
                  <c:v>3.2769835267656968E-3</c:v>
                </c:pt>
                <c:pt idx="10">
                  <c:v>0.66120725374137224</c:v>
                </c:pt>
                <c:pt idx="11">
                  <c:v>0.81155032984957531</c:v>
                </c:pt>
                <c:pt idx="12">
                  <c:v>0.28108285729420779</c:v>
                </c:pt>
                <c:pt idx="13">
                  <c:v>-1.6640032370411875</c:v>
                </c:pt>
                <c:pt idx="14">
                  <c:v>-7.9688266976895752E-2</c:v>
                </c:pt>
                <c:pt idx="15">
                  <c:v>-0.48441276142087969</c:v>
                </c:pt>
                <c:pt idx="16">
                  <c:v>1.6238292681523396</c:v>
                </c:pt>
                <c:pt idx="17">
                  <c:v>0.70052690438163112</c:v>
                </c:pt>
                <c:pt idx="18">
                  <c:v>-2.5047832381717354</c:v>
                </c:pt>
                <c:pt idx="19">
                  <c:v>-6.26231785413357E-2</c:v>
                </c:pt>
                <c:pt idx="20">
                  <c:v>0.48995531599345332</c:v>
                </c:pt>
                <c:pt idx="21">
                  <c:v>-0.85589786323205352</c:v>
                </c:pt>
                <c:pt idx="22">
                  <c:v>-0.23314986213092875</c:v>
                </c:pt>
                <c:pt idx="23">
                  <c:v>1.2208963838458633</c:v>
                </c:pt>
                <c:pt idx="24">
                  <c:v>-0.97662662342055717</c:v>
                </c:pt>
                <c:pt idx="25">
                  <c:v>0.92721462072656069</c:v>
                </c:pt>
                <c:pt idx="26">
                  <c:v>-1.7933661810357295</c:v>
                </c:pt>
                <c:pt idx="27">
                  <c:v>0.21764223744177272</c:v>
                </c:pt>
                <c:pt idx="28">
                  <c:v>0.52141796686721298</c:v>
                </c:pt>
                <c:pt idx="29">
                  <c:v>-0.23326814913105515</c:v>
                </c:pt>
                <c:pt idx="30">
                  <c:v>1.1922594033005625</c:v>
                </c:pt>
                <c:pt idx="31">
                  <c:v>0.38273942927008864</c:v>
                </c:pt>
                <c:pt idx="32">
                  <c:v>-2.0267392266288815</c:v>
                </c:pt>
                <c:pt idx="33">
                  <c:v>1.0729738493387941</c:v>
                </c:pt>
                <c:pt idx="34">
                  <c:v>-0.74148038955169016</c:v>
                </c:pt>
                <c:pt idx="35">
                  <c:v>-0.31774341048766086</c:v>
                </c:pt>
                <c:pt idx="36">
                  <c:v>1.7323637341457805</c:v>
                </c:pt>
                <c:pt idx="37">
                  <c:v>-0.89677735510811685</c:v>
                </c:pt>
                <c:pt idx="38">
                  <c:v>-1.7807147259235854</c:v>
                </c:pt>
                <c:pt idx="39">
                  <c:v>0.34031104776049803</c:v>
                </c:pt>
                <c:pt idx="40">
                  <c:v>-0.89861407268253291</c:v>
                </c:pt>
                <c:pt idx="41">
                  <c:v>-0.92316585669601925</c:v>
                </c:pt>
                <c:pt idx="42">
                  <c:v>0.78152555261801682</c:v>
                </c:pt>
                <c:pt idx="43">
                  <c:v>0.34014482135160751</c:v>
                </c:pt>
                <c:pt idx="44">
                  <c:v>1.5760179156974685</c:v>
                </c:pt>
                <c:pt idx="45">
                  <c:v>0.14629262981466107</c:v>
                </c:pt>
                <c:pt idx="46">
                  <c:v>-1.7008864247149813</c:v>
                </c:pt>
                <c:pt idx="47">
                  <c:v>1.4924670994113753</c:v>
                </c:pt>
                <c:pt idx="48">
                  <c:v>0.96055387075436249</c:v>
                </c:pt>
                <c:pt idx="49">
                  <c:v>0.19551256391526403</c:v>
                </c:pt>
                <c:pt idx="50">
                  <c:v>0.59308404576692153</c:v>
                </c:pt>
                <c:pt idx="51">
                  <c:v>1.2213478215673879</c:v>
                </c:pt>
                <c:pt idx="52">
                  <c:v>1.8123264786892388</c:v>
                </c:pt>
                <c:pt idx="53">
                  <c:v>2.8813025988510127E-2</c:v>
                </c:pt>
                <c:pt idx="54">
                  <c:v>-0.61703154553882922</c:v>
                </c:pt>
                <c:pt idx="55">
                  <c:v>0.86098400491887506</c:v>
                </c:pt>
                <c:pt idx="56">
                  <c:v>0.85893592761249615</c:v>
                </c:pt>
                <c:pt idx="57">
                  <c:v>0.30189370913777597</c:v>
                </c:pt>
                <c:pt idx="58">
                  <c:v>4.9269129557363574E-2</c:v>
                </c:pt>
                <c:pt idx="59">
                  <c:v>2.0548297390149481</c:v>
                </c:pt>
                <c:pt idx="60">
                  <c:v>0.94469739967494448</c:v>
                </c:pt>
                <c:pt idx="61">
                  <c:v>2.8321945164255052E-2</c:v>
                </c:pt>
                <c:pt idx="62">
                  <c:v>0.62001554904399947</c:v>
                </c:pt>
                <c:pt idx="63">
                  <c:v>9.4706266695613897E-2</c:v>
                </c:pt>
                <c:pt idx="64">
                  <c:v>-1.2289382236546105E-2</c:v>
                </c:pt>
                <c:pt idx="65">
                  <c:v>9.32403697710735E-2</c:v>
                </c:pt>
                <c:pt idx="66">
                  <c:v>-1.9454560570043272E-2</c:v>
                </c:pt>
                <c:pt idx="67">
                  <c:v>-0.66021568636358285</c:v>
                </c:pt>
                <c:pt idx="68">
                  <c:v>0.34371010971144006</c:v>
                </c:pt>
                <c:pt idx="69">
                  <c:v>0.74813581770701953</c:v>
                </c:pt>
                <c:pt idx="70">
                  <c:v>1.6371281761134084</c:v>
                </c:pt>
                <c:pt idx="71">
                  <c:v>-0.10153782388417927</c:v>
                </c:pt>
                <c:pt idx="72">
                  <c:v>0.45611495665643753</c:v>
                </c:pt>
                <c:pt idx="73">
                  <c:v>0.35850538208001859</c:v>
                </c:pt>
                <c:pt idx="74">
                  <c:v>0.4493230530225546</c:v>
                </c:pt>
                <c:pt idx="75">
                  <c:v>-0.85926139528659717</c:v>
                </c:pt>
                <c:pt idx="76">
                  <c:v>0.74363337033497734</c:v>
                </c:pt>
                <c:pt idx="77">
                  <c:v>-0.76235004922164773</c:v>
                </c:pt>
                <c:pt idx="78">
                  <c:v>-2.1217558348880905</c:v>
                </c:pt>
                <c:pt idx="79">
                  <c:v>-0.53925750750261703</c:v>
                </c:pt>
                <c:pt idx="80">
                  <c:v>-3.7213022473580458E-2</c:v>
                </c:pt>
                <c:pt idx="81">
                  <c:v>-0.86500943187909141</c:v>
                </c:pt>
                <c:pt idx="82">
                  <c:v>-0.34437937409490887</c:v>
                </c:pt>
                <c:pt idx="83">
                  <c:v>9.9331013009973226E-2</c:v>
                </c:pt>
                <c:pt idx="84">
                  <c:v>1.5983677500316735</c:v>
                </c:pt>
                <c:pt idx="85">
                  <c:v>0.15841738669289432</c:v>
                </c:pt>
                <c:pt idx="86">
                  <c:v>1.2117179472785704</c:v>
                </c:pt>
                <c:pt idx="87">
                  <c:v>-0.59286405232289185</c:v>
                </c:pt>
                <c:pt idx="88">
                  <c:v>-0.53649152711017201</c:v>
                </c:pt>
                <c:pt idx="89">
                  <c:v>-0.77171967981825107</c:v>
                </c:pt>
                <c:pt idx="90">
                  <c:v>-0.25429500013024675</c:v>
                </c:pt>
                <c:pt idx="91">
                  <c:v>-9.1863277815861823E-3</c:v>
                </c:pt>
                <c:pt idx="92">
                  <c:v>1.0672916017308356</c:v>
                </c:pt>
                <c:pt idx="93">
                  <c:v>0.76394655058420324</c:v>
                </c:pt>
                <c:pt idx="94">
                  <c:v>2.4437539203658272</c:v>
                </c:pt>
                <c:pt idx="95">
                  <c:v>1.0658809209442588</c:v>
                </c:pt>
                <c:pt idx="96">
                  <c:v>-1.1703536400019725</c:v>
                </c:pt>
                <c:pt idx="97">
                  <c:v>-1.2660277530856539</c:v>
                </c:pt>
                <c:pt idx="98">
                  <c:v>-0.60394377306363256</c:v>
                </c:pt>
                <c:pt idx="99">
                  <c:v>-0.95017389400600372</c:v>
                </c:pt>
                <c:pt idx="100">
                  <c:v>-0.65345109018335978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182-4502-9EFD-064617FC06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0021967"/>
        <c:axId val="1860016687"/>
      </c:lineChart>
      <c:catAx>
        <c:axId val="18600219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60016687"/>
        <c:crosses val="autoZero"/>
        <c:auto val="1"/>
        <c:lblAlgn val="ctr"/>
        <c:lblOffset val="100"/>
        <c:noMultiLvlLbl val="0"/>
      </c:catAx>
      <c:valAx>
        <c:axId val="186001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60021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GBM!$C$5:$C$254</c:f>
              <c:numCache>
                <c:formatCode>General</c:formatCode>
                <c:ptCount val="250"/>
                <c:pt idx="0">
                  <c:v>2.8468098794179179E-3</c:v>
                </c:pt>
                <c:pt idx="1">
                  <c:v>1.5006114789777559E-3</c:v>
                </c:pt>
                <c:pt idx="2">
                  <c:v>-2.2444187854005668E-3</c:v>
                </c:pt>
                <c:pt idx="3">
                  <c:v>-3.553954891884075E-4</c:v>
                </c:pt>
                <c:pt idx="4">
                  <c:v>2.6671932256037492E-3</c:v>
                </c:pt>
                <c:pt idx="5">
                  <c:v>-6.8186379414903785E-3</c:v>
                </c:pt>
                <c:pt idx="6">
                  <c:v>-1.5257662241250903E-2</c:v>
                </c:pt>
                <c:pt idx="7">
                  <c:v>4.2114488973485431E-3</c:v>
                </c:pt>
                <c:pt idx="8">
                  <c:v>1.9284074528407057E-4</c:v>
                </c:pt>
                <c:pt idx="9">
                  <c:v>2.743238615332079E-3</c:v>
                </c:pt>
                <c:pt idx="10">
                  <c:v>-3.3044922553365093E-3</c:v>
                </c:pt>
                <c:pt idx="11">
                  <c:v>8.4125562972584625E-3</c:v>
                </c:pt>
                <c:pt idx="12">
                  <c:v>1.6798892963392438E-2</c:v>
                </c:pt>
                <c:pt idx="13">
                  <c:v>8.7678805313591351E-4</c:v>
                </c:pt>
                <c:pt idx="14">
                  <c:v>-7.1991546567692797E-3</c:v>
                </c:pt>
                <c:pt idx="15">
                  <c:v>1.8946114404754424E-3</c:v>
                </c:pt>
                <c:pt idx="16">
                  <c:v>5.3873062440901219E-3</c:v>
                </c:pt>
                <c:pt idx="17">
                  <c:v>9.7869625822502564E-3</c:v>
                </c:pt>
                <c:pt idx="18">
                  <c:v>3.0685882148427738E-4</c:v>
                </c:pt>
                <c:pt idx="19">
                  <c:v>1.1286575208949931E-3</c:v>
                </c:pt>
                <c:pt idx="20">
                  <c:v>2.7288683743624626E-3</c:v>
                </c:pt>
                <c:pt idx="21">
                  <c:v>-1.6513019102989853E-3</c:v>
                </c:pt>
                <c:pt idx="22">
                  <c:v>-2.1255753451144767E-3</c:v>
                </c:pt>
                <c:pt idx="23">
                  <c:v>1.5952052784407723E-3</c:v>
                </c:pt>
                <c:pt idx="24">
                  <c:v>1.6080899432691876E-4</c:v>
                </c:pt>
                <c:pt idx="25">
                  <c:v>-5.9531559071043284E-4</c:v>
                </c:pt>
                <c:pt idx="26">
                  <c:v>-2.0978584388234391E-3</c:v>
                </c:pt>
                <c:pt idx="27">
                  <c:v>1.9709632091335374E-3</c:v>
                </c:pt>
                <c:pt idx="28">
                  <c:v>9.2813735673648035E-3</c:v>
                </c:pt>
                <c:pt idx="29">
                  <c:v>-2.8176513101556872E-3</c:v>
                </c:pt>
                <c:pt idx="30">
                  <c:v>-8.2653821854243353E-4</c:v>
                </c:pt>
                <c:pt idx="31">
                  <c:v>-8.6011645727834503E-4</c:v>
                </c:pt>
                <c:pt idx="32">
                  <c:v>-7.964192070665654E-3</c:v>
                </c:pt>
                <c:pt idx="33">
                  <c:v>-3.2398125120476179E-5</c:v>
                </c:pt>
                <c:pt idx="34">
                  <c:v>1.8148884666064154E-3</c:v>
                </c:pt>
                <c:pt idx="35">
                  <c:v>-3.7516818568275869E-3</c:v>
                </c:pt>
                <c:pt idx="36">
                  <c:v>8.464161312119323E-3</c:v>
                </c:pt>
                <c:pt idx="37">
                  <c:v>7.0294319585342364E-3</c:v>
                </c:pt>
                <c:pt idx="38">
                  <c:v>1.6495494387904861E-3</c:v>
                </c:pt>
                <c:pt idx="39">
                  <c:v>9.0845994988230554E-4</c:v>
                </c:pt>
                <c:pt idx="40">
                  <c:v>2.0294284326546341E-3</c:v>
                </c:pt>
                <c:pt idx="41">
                  <c:v>6.5692223640839188E-3</c:v>
                </c:pt>
                <c:pt idx="42">
                  <c:v>4.71457302874105E-3</c:v>
                </c:pt>
                <c:pt idx="43">
                  <c:v>-3.1067821204792171E-3</c:v>
                </c:pt>
                <c:pt idx="44">
                  <c:v>-5.305260917551115E-3</c:v>
                </c:pt>
                <c:pt idx="45">
                  <c:v>-2.9807619965332346E-3</c:v>
                </c:pt>
                <c:pt idx="46">
                  <c:v>-1.3887257862700213E-3</c:v>
                </c:pt>
                <c:pt idx="47">
                  <c:v>-1.1110223477378708E-3</c:v>
                </c:pt>
                <c:pt idx="48">
                  <c:v>2.4997481340078799E-3</c:v>
                </c:pt>
                <c:pt idx="49">
                  <c:v>-1.1699880544542749E-3</c:v>
                </c:pt>
                <c:pt idx="50">
                  <c:v>3.9039409549507654E-4</c:v>
                </c:pt>
                <c:pt idx="51">
                  <c:v>-6.5572288451127472E-3</c:v>
                </c:pt>
                <c:pt idx="52">
                  <c:v>7.9149162307453301E-4</c:v>
                </c:pt>
                <c:pt idx="53">
                  <c:v>-4.4029886127217917E-3</c:v>
                </c:pt>
                <c:pt idx="54">
                  <c:v>5.5886919120231129E-4</c:v>
                </c:pt>
                <c:pt idx="55">
                  <c:v>2.3550267846839733E-3</c:v>
                </c:pt>
                <c:pt idx="56">
                  <c:v>-4.306008380857259E-3</c:v>
                </c:pt>
                <c:pt idx="57">
                  <c:v>2.222120097519124E-3</c:v>
                </c:pt>
                <c:pt idx="58">
                  <c:v>2.3059495447146495E-3</c:v>
                </c:pt>
                <c:pt idx="59">
                  <c:v>-6.5082372252149221E-4</c:v>
                </c:pt>
                <c:pt idx="60">
                  <c:v>5.7155690286384518E-4</c:v>
                </c:pt>
                <c:pt idx="61">
                  <c:v>-1.0801586222519068E-3</c:v>
                </c:pt>
                <c:pt idx="62">
                  <c:v>-1.9445602715385032E-3</c:v>
                </c:pt>
                <c:pt idx="63">
                  <c:v>-1.3599869994277973E-3</c:v>
                </c:pt>
                <c:pt idx="64">
                  <c:v>-6.0513306127606527E-3</c:v>
                </c:pt>
                <c:pt idx="65">
                  <c:v>-8.0363749304624334E-3</c:v>
                </c:pt>
                <c:pt idx="66">
                  <c:v>-3.373431056786275E-3</c:v>
                </c:pt>
                <c:pt idx="67">
                  <c:v>-2.1573372447567631E-3</c:v>
                </c:pt>
                <c:pt idx="68">
                  <c:v>5.5290619954842101E-4</c:v>
                </c:pt>
                <c:pt idx="69">
                  <c:v>1.4709673825956371E-3</c:v>
                </c:pt>
                <c:pt idx="70">
                  <c:v>1.3329472654191358E-3</c:v>
                </c:pt>
                <c:pt idx="71">
                  <c:v>-1.8171099340479001E-3</c:v>
                </c:pt>
                <c:pt idx="72">
                  <c:v>-2.9335046514883936E-3</c:v>
                </c:pt>
                <c:pt idx="73">
                  <c:v>-4.531144586080736E-3</c:v>
                </c:pt>
                <c:pt idx="74">
                  <c:v>-1.5272745121931939E-2</c:v>
                </c:pt>
                <c:pt idx="75">
                  <c:v>1.6692044560736802E-3</c:v>
                </c:pt>
                <c:pt idx="76">
                  <c:v>1.2258140458055497E-3</c:v>
                </c:pt>
                <c:pt idx="77">
                  <c:v>-5.4244136615982594E-4</c:v>
                </c:pt>
                <c:pt idx="78">
                  <c:v>1.2716169372674732E-2</c:v>
                </c:pt>
                <c:pt idx="79">
                  <c:v>4.8360098255567363E-3</c:v>
                </c:pt>
                <c:pt idx="80">
                  <c:v>-3.0881086772220211E-3</c:v>
                </c:pt>
                <c:pt idx="81">
                  <c:v>3.1049861103104952E-3</c:v>
                </c:pt>
                <c:pt idx="82">
                  <c:v>2.0131187028059674E-3</c:v>
                </c:pt>
                <c:pt idx="83">
                  <c:v>1.7275989075844347E-2</c:v>
                </c:pt>
                <c:pt idx="84">
                  <c:v>-8.5331519682571035E-4</c:v>
                </c:pt>
                <c:pt idx="85">
                  <c:v>1.1152786180783128E-2</c:v>
                </c:pt>
                <c:pt idx="86">
                  <c:v>-9.1189839400167066E-4</c:v>
                </c:pt>
                <c:pt idx="87">
                  <c:v>3.4646981319717139E-3</c:v>
                </c:pt>
                <c:pt idx="88">
                  <c:v>-5.0938115013836752E-3</c:v>
                </c:pt>
                <c:pt idx="89">
                  <c:v>-1.4891477134309499E-3</c:v>
                </c:pt>
                <c:pt idx="90">
                  <c:v>2.8785653185739442E-3</c:v>
                </c:pt>
                <c:pt idx="91">
                  <c:v>-2.2268070023618535E-2</c:v>
                </c:pt>
                <c:pt idx="92">
                  <c:v>-9.9869331400625969E-3</c:v>
                </c:pt>
                <c:pt idx="93">
                  <c:v>1.3539918438332446E-2</c:v>
                </c:pt>
                <c:pt idx="94">
                  <c:v>7.7286314956551486E-4</c:v>
                </c:pt>
                <c:pt idx="95">
                  <c:v>-6.2383211301729356E-3</c:v>
                </c:pt>
                <c:pt idx="96">
                  <c:v>6.6159575282559212E-3</c:v>
                </c:pt>
                <c:pt idx="97">
                  <c:v>2.618388528022516E-3</c:v>
                </c:pt>
                <c:pt idx="98">
                  <c:v>9.6170394755625901E-3</c:v>
                </c:pt>
                <c:pt idx="99">
                  <c:v>3.3225769677956954E-3</c:v>
                </c:pt>
                <c:pt idx="100">
                  <c:v>-2.0318977488524067E-3</c:v>
                </c:pt>
                <c:pt idx="101">
                  <c:v>-1.4183140747345611E-2</c:v>
                </c:pt>
                <c:pt idx="102">
                  <c:v>8.867581170002609E-4</c:v>
                </c:pt>
                <c:pt idx="103">
                  <c:v>-1.5942185658411512E-3</c:v>
                </c:pt>
                <c:pt idx="104">
                  <c:v>-2.0301311208093917E-3</c:v>
                </c:pt>
                <c:pt idx="105">
                  <c:v>-3.7048884170255889E-3</c:v>
                </c:pt>
                <c:pt idx="106">
                  <c:v>-4.7477573501542311E-3</c:v>
                </c:pt>
                <c:pt idx="107">
                  <c:v>4.0631293483996229E-3</c:v>
                </c:pt>
                <c:pt idx="108">
                  <c:v>1.5846758414822862E-3</c:v>
                </c:pt>
                <c:pt idx="109">
                  <c:v>-3.3292435970166773E-5</c:v>
                </c:pt>
                <c:pt idx="110">
                  <c:v>-8.4916096496315992E-3</c:v>
                </c:pt>
                <c:pt idx="111">
                  <c:v>-9.6842137197903893E-3</c:v>
                </c:pt>
                <c:pt idx="112">
                  <c:v>4.6630335608066602E-3</c:v>
                </c:pt>
                <c:pt idx="113">
                  <c:v>2.4153403116446855E-3</c:v>
                </c:pt>
                <c:pt idx="114">
                  <c:v>-7.391016020814504E-3</c:v>
                </c:pt>
                <c:pt idx="115">
                  <c:v>-1.7061669384419184E-3</c:v>
                </c:pt>
                <c:pt idx="116">
                  <c:v>-1.6954419847437835E-3</c:v>
                </c:pt>
                <c:pt idx="117">
                  <c:v>6.0865683334858931E-3</c:v>
                </c:pt>
                <c:pt idx="118">
                  <c:v>2.5893219243401113E-4</c:v>
                </c:pt>
                <c:pt idx="119">
                  <c:v>1.6880577423654883E-3</c:v>
                </c:pt>
                <c:pt idx="120">
                  <c:v>4.6394666127875942E-4</c:v>
                </c:pt>
                <c:pt idx="121">
                  <c:v>-7.0812867404224933E-3</c:v>
                </c:pt>
                <c:pt idx="122">
                  <c:v>-3.8044788420428062E-3</c:v>
                </c:pt>
                <c:pt idx="123">
                  <c:v>1.2428606219621004E-2</c:v>
                </c:pt>
                <c:pt idx="124">
                  <c:v>3.137329058076834E-3</c:v>
                </c:pt>
                <c:pt idx="125">
                  <c:v>4.9239187745095901E-4</c:v>
                </c:pt>
                <c:pt idx="126">
                  <c:v>4.9607040484874552E-3</c:v>
                </c:pt>
                <c:pt idx="127">
                  <c:v>-9.0869779418059956E-3</c:v>
                </c:pt>
                <c:pt idx="128">
                  <c:v>9.1541130748022843E-3</c:v>
                </c:pt>
                <c:pt idx="129">
                  <c:v>2.6589894848072877E-3</c:v>
                </c:pt>
                <c:pt idx="130">
                  <c:v>-1.6667625615910298E-5</c:v>
                </c:pt>
                <c:pt idx="131">
                  <c:v>-2.1393693973543668E-3</c:v>
                </c:pt>
                <c:pt idx="132">
                  <c:v>-6.20407283107541E-4</c:v>
                </c:pt>
                <c:pt idx="133">
                  <c:v>1.2568503857687834E-2</c:v>
                </c:pt>
                <c:pt idx="134">
                  <c:v>-4.9673455505890741E-3</c:v>
                </c:pt>
                <c:pt idx="135">
                  <c:v>1.1117802456748564E-2</c:v>
                </c:pt>
                <c:pt idx="136">
                  <c:v>4.5085635569453268E-3</c:v>
                </c:pt>
                <c:pt idx="137">
                  <c:v>-1.1083015548555022E-2</c:v>
                </c:pt>
                <c:pt idx="138">
                  <c:v>1.1273927014501871E-2</c:v>
                </c:pt>
                <c:pt idx="139">
                  <c:v>4.130867626753453E-4</c:v>
                </c:pt>
                <c:pt idx="140">
                  <c:v>-3.7807376155341108E-3</c:v>
                </c:pt>
                <c:pt idx="141">
                  <c:v>-5.5630856952612875E-3</c:v>
                </c:pt>
                <c:pt idx="142">
                  <c:v>5.0019686535646935E-3</c:v>
                </c:pt>
                <c:pt idx="143">
                  <c:v>-8.6716632979682738E-4</c:v>
                </c:pt>
                <c:pt idx="144">
                  <c:v>1.8927344376596874E-3</c:v>
                </c:pt>
                <c:pt idx="145">
                  <c:v>1.3845315250549616E-2</c:v>
                </c:pt>
                <c:pt idx="146">
                  <c:v>-5.162073353394925E-3</c:v>
                </c:pt>
                <c:pt idx="147">
                  <c:v>1.138041649766109E-2</c:v>
                </c:pt>
                <c:pt idx="148">
                  <c:v>5.0594881355811331E-3</c:v>
                </c:pt>
                <c:pt idx="149">
                  <c:v>-1.0576551202862019E-4</c:v>
                </c:pt>
                <c:pt idx="150">
                  <c:v>8.7944439069271001E-3</c:v>
                </c:pt>
                <c:pt idx="151">
                  <c:v>-5.4869236925447307E-4</c:v>
                </c:pt>
                <c:pt idx="152">
                  <c:v>3.1344193825902432E-3</c:v>
                </c:pt>
                <c:pt idx="153">
                  <c:v>5.9548517753948826E-3</c:v>
                </c:pt>
                <c:pt idx="154">
                  <c:v>-9.6010999926110703E-4</c:v>
                </c:pt>
                <c:pt idx="155">
                  <c:v>2.9319134208183576E-3</c:v>
                </c:pt>
                <c:pt idx="156">
                  <c:v>-3.4711057469451112E-3</c:v>
                </c:pt>
                <c:pt idx="157">
                  <c:v>1.6445912414240343E-3</c:v>
                </c:pt>
                <c:pt idx="158">
                  <c:v>4.7387234037990595E-3</c:v>
                </c:pt>
                <c:pt idx="159">
                  <c:v>3.9192488218437503E-3</c:v>
                </c:pt>
                <c:pt idx="160">
                  <c:v>5.4198492539517269E-3</c:v>
                </c:pt>
                <c:pt idx="161">
                  <c:v>-6.8965789372374062E-4</c:v>
                </c:pt>
                <c:pt idx="162">
                  <c:v>3.5351228505279596E-3</c:v>
                </c:pt>
                <c:pt idx="163">
                  <c:v>2.3130467454860596E-3</c:v>
                </c:pt>
                <c:pt idx="164">
                  <c:v>-6.2581921546671056E-4</c:v>
                </c:pt>
                <c:pt idx="165">
                  <c:v>-8.0769441177379695E-3</c:v>
                </c:pt>
                <c:pt idx="166">
                  <c:v>1.242505460814367E-2</c:v>
                </c:pt>
                <c:pt idx="167">
                  <c:v>-6.8604445946210679E-3</c:v>
                </c:pt>
                <c:pt idx="168">
                  <c:v>1.3556828836729354E-3</c:v>
                </c:pt>
                <c:pt idx="169">
                  <c:v>-5.4623793898911956E-3</c:v>
                </c:pt>
                <c:pt idx="170">
                  <c:v>-8.2741287293816249E-3</c:v>
                </c:pt>
                <c:pt idx="171">
                  <c:v>-1.6124095148398035E-2</c:v>
                </c:pt>
                <c:pt idx="172">
                  <c:v>1.53685387734217E-3</c:v>
                </c:pt>
                <c:pt idx="173">
                  <c:v>5.9907700160971777E-3</c:v>
                </c:pt>
                <c:pt idx="174">
                  <c:v>-6.6615005619152477E-3</c:v>
                </c:pt>
                <c:pt idx="175">
                  <c:v>7.8205264157572563E-3</c:v>
                </c:pt>
                <c:pt idx="176">
                  <c:v>4.1121371049559416E-3</c:v>
                </c:pt>
                <c:pt idx="177">
                  <c:v>-4.8013096616508115E-3</c:v>
                </c:pt>
                <c:pt idx="178">
                  <c:v>3.0124970476295304E-3</c:v>
                </c:pt>
                <c:pt idx="179">
                  <c:v>-1.4597315799030489E-3</c:v>
                </c:pt>
                <c:pt idx="180">
                  <c:v>-3.980865266649051E-3</c:v>
                </c:pt>
                <c:pt idx="181">
                  <c:v>-1.8041014186060999E-3</c:v>
                </c:pt>
                <c:pt idx="182">
                  <c:v>-2.7416622074295134E-2</c:v>
                </c:pt>
                <c:pt idx="183">
                  <c:v>1.3412259684532779E-2</c:v>
                </c:pt>
                <c:pt idx="184">
                  <c:v>-3.1332686002783238E-3</c:v>
                </c:pt>
                <c:pt idx="185">
                  <c:v>1.1589985546140349E-2</c:v>
                </c:pt>
                <c:pt idx="186">
                  <c:v>7.4698226311310624E-3</c:v>
                </c:pt>
                <c:pt idx="187">
                  <c:v>2.0529809930613988E-2</c:v>
                </c:pt>
                <c:pt idx="188">
                  <c:v>5.6342167767412746E-3</c:v>
                </c:pt>
                <c:pt idx="189">
                  <c:v>-2.7870056884399933E-3</c:v>
                </c:pt>
                <c:pt idx="190">
                  <c:v>3.7998153240951333E-3</c:v>
                </c:pt>
                <c:pt idx="191">
                  <c:v>3.9041774783057639E-3</c:v>
                </c:pt>
                <c:pt idx="192">
                  <c:v>-1.2377833307740706E-3</c:v>
                </c:pt>
                <c:pt idx="193">
                  <c:v>2.7321937653555042E-3</c:v>
                </c:pt>
                <c:pt idx="194">
                  <c:v>-3.3662503561209768E-3</c:v>
                </c:pt>
                <c:pt idx="195">
                  <c:v>1.7093828879852901E-2</c:v>
                </c:pt>
                <c:pt idx="196">
                  <c:v>7.5718838344005519E-3</c:v>
                </c:pt>
                <c:pt idx="197">
                  <c:v>6.2502841833258333E-4</c:v>
                </c:pt>
                <c:pt idx="198">
                  <c:v>-9.4053668864941924E-3</c:v>
                </c:pt>
                <c:pt idx="199">
                  <c:v>1.5265776801058053E-3</c:v>
                </c:pt>
                <c:pt idx="200">
                  <c:v>-2.4583922440711064E-3</c:v>
                </c:pt>
                <c:pt idx="201">
                  <c:v>-5.6739681626285475E-3</c:v>
                </c:pt>
                <c:pt idx="202">
                  <c:v>1.5073229505630146E-2</c:v>
                </c:pt>
                <c:pt idx="203">
                  <c:v>5.0435978333073844E-3</c:v>
                </c:pt>
                <c:pt idx="204">
                  <c:v>4.0671491975221895E-3</c:v>
                </c:pt>
                <c:pt idx="205">
                  <c:v>-2.4202851805583993E-3</c:v>
                </c:pt>
                <c:pt idx="206">
                  <c:v>-6.1561179582841439E-3</c:v>
                </c:pt>
                <c:pt idx="207">
                  <c:v>-3.3172663060514862E-2</c:v>
                </c:pt>
                <c:pt idx="208">
                  <c:v>-7.7877497484905751E-3</c:v>
                </c:pt>
                <c:pt idx="209">
                  <c:v>8.4479878307392627E-3</c:v>
                </c:pt>
                <c:pt idx="210">
                  <c:v>2.2681787844326547E-3</c:v>
                </c:pt>
                <c:pt idx="211">
                  <c:v>1.9645348966811798E-3</c:v>
                </c:pt>
                <c:pt idx="212">
                  <c:v>1.2770271289893281E-3</c:v>
                </c:pt>
                <c:pt idx="213">
                  <c:v>-6.7103896877294261E-3</c:v>
                </c:pt>
                <c:pt idx="214">
                  <c:v>-4.7455146505741676E-3</c:v>
                </c:pt>
                <c:pt idx="215">
                  <c:v>-3.8053636485211747E-3</c:v>
                </c:pt>
                <c:pt idx="216">
                  <c:v>4.3036042461126042E-3</c:v>
                </c:pt>
                <c:pt idx="217">
                  <c:v>9.5214252927986116E-4</c:v>
                </c:pt>
                <c:pt idx="218">
                  <c:v>-4.8292304840626447E-4</c:v>
                </c:pt>
                <c:pt idx="219">
                  <c:v>6.2645853292413291E-3</c:v>
                </c:pt>
                <c:pt idx="220">
                  <c:v>9.4225603466056174E-3</c:v>
                </c:pt>
                <c:pt idx="221">
                  <c:v>-7.6471752831511917E-3</c:v>
                </c:pt>
                <c:pt idx="222">
                  <c:v>-2.7289747277855166E-3</c:v>
                </c:pt>
                <c:pt idx="223">
                  <c:v>1.3876217463660294E-3</c:v>
                </c:pt>
                <c:pt idx="224">
                  <c:v>-6.1618298526818708E-4</c:v>
                </c:pt>
                <c:pt idx="225">
                  <c:v>4.9467234023854575E-3</c:v>
                </c:pt>
                <c:pt idx="226">
                  <c:v>1.5627984714731435E-3</c:v>
                </c:pt>
                <c:pt idx="227">
                  <c:v>7.0115632945910037E-3</c:v>
                </c:pt>
                <c:pt idx="228">
                  <c:v>-3.8889330271338288E-3</c:v>
                </c:pt>
                <c:pt idx="229">
                  <c:v>1.1203330732467699E-2</c:v>
                </c:pt>
                <c:pt idx="230">
                  <c:v>-2.2715591876122209E-4</c:v>
                </c:pt>
                <c:pt idx="231">
                  <c:v>4.3219031845904421E-3</c:v>
                </c:pt>
                <c:pt idx="232">
                  <c:v>-1.1042534864971686E-2</c:v>
                </c:pt>
                <c:pt idx="233">
                  <c:v>-5.1199269497553251E-3</c:v>
                </c:pt>
                <c:pt idx="234">
                  <c:v>-1.210277767648542E-3</c:v>
                </c:pt>
                <c:pt idx="235">
                  <c:v>1.5197237737159235E-2</c:v>
                </c:pt>
                <c:pt idx="236">
                  <c:v>7.5148211205217355E-3</c:v>
                </c:pt>
                <c:pt idx="237">
                  <c:v>1.0574213774589231E-3</c:v>
                </c:pt>
                <c:pt idx="238">
                  <c:v>-2.2746753688898062E-3</c:v>
                </c:pt>
                <c:pt idx="239">
                  <c:v>1.4002220084360717E-3</c:v>
                </c:pt>
                <c:pt idx="240">
                  <c:v>5.9558157536115149E-3</c:v>
                </c:pt>
                <c:pt idx="241">
                  <c:v>-1.1226190671108274E-3</c:v>
                </c:pt>
                <c:pt idx="242">
                  <c:v>3.6668076251494368E-3</c:v>
                </c:pt>
                <c:pt idx="243">
                  <c:v>9.8537597515469541E-4</c:v>
                </c:pt>
                <c:pt idx="244">
                  <c:v>-3.5038053020712643E-3</c:v>
                </c:pt>
                <c:pt idx="245">
                  <c:v>-1.4197811125189746E-3</c:v>
                </c:pt>
                <c:pt idx="246">
                  <c:v>6.607651539440337E-3</c:v>
                </c:pt>
                <c:pt idx="247">
                  <c:v>-3.4131839955023973E-3</c:v>
                </c:pt>
                <c:pt idx="248">
                  <c:v>-1.1706759747269695E-2</c:v>
                </c:pt>
                <c:pt idx="249">
                  <c:v>4.7467153617393142E-3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B4-4F38-A81C-C0A1C576B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2623823"/>
        <c:axId val="1860016207"/>
      </c:lineChart>
      <c:catAx>
        <c:axId val="18526238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60016207"/>
        <c:crosses val="autoZero"/>
        <c:auto val="1"/>
        <c:lblAlgn val="ctr"/>
        <c:lblOffset val="100"/>
        <c:noMultiLvlLbl val="0"/>
      </c:catAx>
      <c:valAx>
        <c:axId val="186001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52623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GBM!$K$37:$DG$37</c:f>
              <c:numCache>
                <c:formatCode>General</c:formatCode>
                <c:ptCount val="101"/>
                <c:pt idx="0">
                  <c:v>0</c:v>
                </c:pt>
                <c:pt idx="1">
                  <c:v>1.0362736855264116E-2</c:v>
                </c:pt>
                <c:pt idx="2">
                  <c:v>8.1777587593831486E-3</c:v>
                </c:pt>
                <c:pt idx="3">
                  <c:v>-3.5895496774278218E-3</c:v>
                </c:pt>
                <c:pt idx="4">
                  <c:v>-1.1816414790740101E-2</c:v>
                </c:pt>
                <c:pt idx="5">
                  <c:v>-3.0951257470390489E-3</c:v>
                </c:pt>
                <c:pt idx="6">
                  <c:v>-5.0314572568316797E-3</c:v>
                </c:pt>
                <c:pt idx="7">
                  <c:v>-7.2837026449775978E-3</c:v>
                </c:pt>
                <c:pt idx="8">
                  <c:v>-1.2816115138129006E-3</c:v>
                </c:pt>
                <c:pt idx="9">
                  <c:v>-6.2812580987070619E-4</c:v>
                </c:pt>
                <c:pt idx="10">
                  <c:v>-1.7017840436454813E-2</c:v>
                </c:pt>
                <c:pt idx="11">
                  <c:v>6.3923750484196236E-4</c:v>
                </c:pt>
                <c:pt idx="12">
                  <c:v>4.4397004807586226E-3</c:v>
                </c:pt>
                <c:pt idx="13">
                  <c:v>-8.3221193628037465E-3</c:v>
                </c:pt>
                <c:pt idx="14">
                  <c:v>1.5729374750043947E-3</c:v>
                </c:pt>
                <c:pt idx="15">
                  <c:v>-4.2330390266202651E-3</c:v>
                </c:pt>
                <c:pt idx="16">
                  <c:v>5.02158076859637E-3</c:v>
                </c:pt>
                <c:pt idx="17">
                  <c:v>-3.3039030080146269E-4</c:v>
                </c:pt>
                <c:pt idx="18">
                  <c:v>3.2149570486412157E-3</c:v>
                </c:pt>
                <c:pt idx="19">
                  <c:v>-2.8469691484045624E-4</c:v>
                </c:pt>
                <c:pt idx="20">
                  <c:v>2.6340071219445082E-3</c:v>
                </c:pt>
                <c:pt idx="21">
                  <c:v>3.2005471109729515E-3</c:v>
                </c:pt>
                <c:pt idx="22">
                  <c:v>-1.5340502856456446E-3</c:v>
                </c:pt>
                <c:pt idx="23">
                  <c:v>-1.078358421214757E-3</c:v>
                </c:pt>
                <c:pt idx="24">
                  <c:v>7.8426048956563039E-4</c:v>
                </c:pt>
                <c:pt idx="25">
                  <c:v>-6.6484941528809601E-3</c:v>
                </c:pt>
                <c:pt idx="26">
                  <c:v>-3.1765034702112994E-3</c:v>
                </c:pt>
                <c:pt idx="27">
                  <c:v>7.297000766387186E-3</c:v>
                </c:pt>
                <c:pt idx="28">
                  <c:v>2.9591216103839785E-3</c:v>
                </c:pt>
                <c:pt idx="29">
                  <c:v>-1.0732846768791544E-3</c:v>
                </c:pt>
                <c:pt idx="30">
                  <c:v>8.8981404929030818E-3</c:v>
                </c:pt>
                <c:pt idx="31">
                  <c:v>2.1423479740886047E-3</c:v>
                </c:pt>
                <c:pt idx="32">
                  <c:v>-3.6365797430690255E-4</c:v>
                </c:pt>
                <c:pt idx="33">
                  <c:v>-2.5595759056333402E-3</c:v>
                </c:pt>
                <c:pt idx="34">
                  <c:v>4.3693231790666671E-4</c:v>
                </c:pt>
                <c:pt idx="35">
                  <c:v>-1.9866150825912942E-3</c:v>
                </c:pt>
                <c:pt idx="36">
                  <c:v>-3.7505584477007755E-3</c:v>
                </c:pt>
                <c:pt idx="37">
                  <c:v>6.0845596954273648E-3</c:v>
                </c:pt>
                <c:pt idx="38">
                  <c:v>1.2743789560133787E-2</c:v>
                </c:pt>
                <c:pt idx="39">
                  <c:v>-3.3354594329640334E-3</c:v>
                </c:pt>
                <c:pt idx="40">
                  <c:v>-1.5755846014865408E-3</c:v>
                </c:pt>
                <c:pt idx="41">
                  <c:v>5.737713393332791E-3</c:v>
                </c:pt>
                <c:pt idx="42">
                  <c:v>9.2820334793138476E-3</c:v>
                </c:pt>
                <c:pt idx="43">
                  <c:v>-5.5739091108559756E-3</c:v>
                </c:pt>
                <c:pt idx="44">
                  <c:v>3.9232989932801053E-3</c:v>
                </c:pt>
                <c:pt idx="45">
                  <c:v>2.0485708080789839E-3</c:v>
                </c:pt>
                <c:pt idx="46">
                  <c:v>-1.8766919360705431E-3</c:v>
                </c:pt>
                <c:pt idx="47">
                  <c:v>9.8854062045068171E-3</c:v>
                </c:pt>
                <c:pt idx="48">
                  <c:v>-8.4447001307520254E-4</c:v>
                </c:pt>
                <c:pt idx="49">
                  <c:v>-1.088590216160539E-2</c:v>
                </c:pt>
                <c:pt idx="50">
                  <c:v>-4.5729688477757439E-3</c:v>
                </c:pt>
                <c:pt idx="51">
                  <c:v>-1.2006386109573767E-3</c:v>
                </c:pt>
                <c:pt idx="52">
                  <c:v>-4.0313563540912613E-3</c:v>
                </c:pt>
                <c:pt idx="53">
                  <c:v>-2.4313984637396855E-3</c:v>
                </c:pt>
                <c:pt idx="54">
                  <c:v>6.0832991032428712E-3</c:v>
                </c:pt>
                <c:pt idx="55">
                  <c:v>-4.0684712276466622E-4</c:v>
                </c:pt>
                <c:pt idx="56">
                  <c:v>9.7040700279349846E-3</c:v>
                </c:pt>
                <c:pt idx="57">
                  <c:v>-2.9714316054263224E-3</c:v>
                </c:pt>
                <c:pt idx="58">
                  <c:v>1.0397571607334266E-2</c:v>
                </c:pt>
                <c:pt idx="59">
                  <c:v>9.3285438420287539E-3</c:v>
                </c:pt>
                <c:pt idx="60">
                  <c:v>-2.6267421008197927E-3</c:v>
                </c:pt>
                <c:pt idx="61">
                  <c:v>1.6711960325245237E-3</c:v>
                </c:pt>
                <c:pt idx="62">
                  <c:v>5.0505659235936737E-3</c:v>
                </c:pt>
                <c:pt idx="63">
                  <c:v>-2.0388536652878758E-3</c:v>
                </c:pt>
                <c:pt idx="64">
                  <c:v>-7.5947928477365797E-4</c:v>
                </c:pt>
                <c:pt idx="65">
                  <c:v>-3.0996887167955138E-3</c:v>
                </c:pt>
                <c:pt idx="66">
                  <c:v>2.3378145873134523E-3</c:v>
                </c:pt>
                <c:pt idx="67">
                  <c:v>-5.7312347333329898E-3</c:v>
                </c:pt>
                <c:pt idx="68">
                  <c:v>-1.0982938049045135E-2</c:v>
                </c:pt>
                <c:pt idx="69">
                  <c:v>-4.5736133744214303E-3</c:v>
                </c:pt>
                <c:pt idx="70">
                  <c:v>7.7432074983717326E-4</c:v>
                </c:pt>
                <c:pt idx="71">
                  <c:v>-7.9277451472474E-3</c:v>
                </c:pt>
                <c:pt idx="72">
                  <c:v>6.2596376411560729E-3</c:v>
                </c:pt>
                <c:pt idx="73">
                  <c:v>-3.5273672854754679E-3</c:v>
                </c:pt>
                <c:pt idx="74">
                  <c:v>9.426763756491454E-3</c:v>
                </c:pt>
                <c:pt idx="75">
                  <c:v>8.4883704490701338E-3</c:v>
                </c:pt>
                <c:pt idx="76">
                  <c:v>-9.6099311251713433E-4</c:v>
                </c:pt>
                <c:pt idx="77">
                  <c:v>-2.0787597593238151E-3</c:v>
                </c:pt>
                <c:pt idx="78">
                  <c:v>-4.6621845290143417E-3</c:v>
                </c:pt>
                <c:pt idx="79">
                  <c:v>8.8801572853663795E-3</c:v>
                </c:pt>
                <c:pt idx="80">
                  <c:v>-6.5666793486986357E-3</c:v>
                </c:pt>
                <c:pt idx="81">
                  <c:v>1.1186155464160042E-2</c:v>
                </c:pt>
                <c:pt idx="82">
                  <c:v>2.3103098514940523E-3</c:v>
                </c:pt>
                <c:pt idx="83">
                  <c:v>4.5634035286980061E-4</c:v>
                </c:pt>
                <c:pt idx="84">
                  <c:v>-9.2488399455951525E-3</c:v>
                </c:pt>
                <c:pt idx="85">
                  <c:v>1.2534175568966461E-2</c:v>
                </c:pt>
                <c:pt idx="86">
                  <c:v>3.2635384526896179E-3</c:v>
                </c:pt>
                <c:pt idx="87">
                  <c:v>-6.4259431699108518E-3</c:v>
                </c:pt>
                <c:pt idx="88">
                  <c:v>6.1157921812940799E-4</c:v>
                </c:pt>
                <c:pt idx="89">
                  <c:v>-5.0995941118275332E-3</c:v>
                </c:pt>
                <c:pt idx="90">
                  <c:v>9.1149382561305226E-3</c:v>
                </c:pt>
                <c:pt idx="91">
                  <c:v>-1.3680317345854461E-2</c:v>
                </c:pt>
                <c:pt idx="92">
                  <c:v>8.4457749263712485E-3</c:v>
                </c:pt>
                <c:pt idx="93">
                  <c:v>4.6160979684900299E-3</c:v>
                </c:pt>
                <c:pt idx="94">
                  <c:v>-4.3486612838313276E-3</c:v>
                </c:pt>
                <c:pt idx="95">
                  <c:v>3.77281581059417E-3</c:v>
                </c:pt>
                <c:pt idx="96">
                  <c:v>-3.9932670211539466E-3</c:v>
                </c:pt>
                <c:pt idx="97">
                  <c:v>1.2654592182994234E-2</c:v>
                </c:pt>
                <c:pt idx="98">
                  <c:v>-7.3715081772459173E-3</c:v>
                </c:pt>
                <c:pt idx="99">
                  <c:v>1.2765913334754418E-3</c:v>
                </c:pt>
                <c:pt idx="100">
                  <c:v>-6.8080640602186451E-3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34-44D4-842E-2C2B4599F684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GBM!$K$38:$DG$38</c:f>
              <c:numCache>
                <c:formatCode>General</c:formatCode>
                <c:ptCount val="101"/>
                <c:pt idx="0">
                  <c:v>0</c:v>
                </c:pt>
                <c:pt idx="1">
                  <c:v>-6.8958987364513367E-3</c:v>
                </c:pt>
                <c:pt idx="2">
                  <c:v>-4.5866790529039917E-3</c:v>
                </c:pt>
                <c:pt idx="3">
                  <c:v>1.1585621973767505E-3</c:v>
                </c:pt>
                <c:pt idx="4">
                  <c:v>-9.8557977889254939E-3</c:v>
                </c:pt>
                <c:pt idx="5">
                  <c:v>3.4082547637063762E-3</c:v>
                </c:pt>
                <c:pt idx="6">
                  <c:v>-1.3768584241690794E-2</c:v>
                </c:pt>
                <c:pt idx="7">
                  <c:v>-1.0782242561869035E-3</c:v>
                </c:pt>
                <c:pt idx="8">
                  <c:v>-6.14441753469814E-3</c:v>
                </c:pt>
                <c:pt idx="9">
                  <c:v>4.3182578528107368E-3</c:v>
                </c:pt>
                <c:pt idx="10">
                  <c:v>-1.717867955708963E-3</c:v>
                </c:pt>
                <c:pt idx="11">
                  <c:v>3.9011254930583121E-3</c:v>
                </c:pt>
                <c:pt idx="12">
                  <c:v>-6.2477522552305742E-4</c:v>
                </c:pt>
                <c:pt idx="13">
                  <c:v>-1.4540084136194759E-2</c:v>
                </c:pt>
                <c:pt idx="14">
                  <c:v>1.5116798967882146E-3</c:v>
                </c:pt>
                <c:pt idx="15">
                  <c:v>5.2599574605438435E-3</c:v>
                </c:pt>
                <c:pt idx="16">
                  <c:v>-1.1578106817067127E-2</c:v>
                </c:pt>
                <c:pt idx="17">
                  <c:v>-3.7200754907577085E-3</c:v>
                </c:pt>
                <c:pt idx="18">
                  <c:v>1.7737506405935007E-3</c:v>
                </c:pt>
                <c:pt idx="19">
                  <c:v>1.0573169455471692E-3</c:v>
                </c:pt>
                <c:pt idx="20">
                  <c:v>-3.3681392727428769E-3</c:v>
                </c:pt>
                <c:pt idx="21">
                  <c:v>-3.9988877086695511E-4</c:v>
                </c:pt>
                <c:pt idx="22">
                  <c:v>1.9338737126510361E-3</c:v>
                </c:pt>
                <c:pt idx="23">
                  <c:v>1.0991211932822877E-2</c:v>
                </c:pt>
                <c:pt idx="24">
                  <c:v>-5.225376500878065E-3</c:v>
                </c:pt>
                <c:pt idx="25">
                  <c:v>-3.793621324298314E-3</c:v>
                </c:pt>
                <c:pt idx="26">
                  <c:v>1.2602008551438129E-2</c:v>
                </c:pt>
                <c:pt idx="27">
                  <c:v>4.932609295724929E-3</c:v>
                </c:pt>
                <c:pt idx="28">
                  <c:v>-2.2715835614980371E-3</c:v>
                </c:pt>
                <c:pt idx="29">
                  <c:v>1.1571563665491909E-3</c:v>
                </c:pt>
                <c:pt idx="30">
                  <c:v>1.2941635546514793E-2</c:v>
                </c:pt>
                <c:pt idx="31">
                  <c:v>5.6891090453434975E-3</c:v>
                </c:pt>
                <c:pt idx="32">
                  <c:v>1.0585924018015671E-2</c:v>
                </c:pt>
                <c:pt idx="33">
                  <c:v>4.8186756010680535E-3</c:v>
                </c:pt>
                <c:pt idx="34">
                  <c:v>4.570923063186144E-3</c:v>
                </c:pt>
                <c:pt idx="35">
                  <c:v>-5.2199198803992673E-3</c:v>
                </c:pt>
                <c:pt idx="36">
                  <c:v>2.7080788699455072E-3</c:v>
                </c:pt>
                <c:pt idx="37">
                  <c:v>1.8071644755417973E-2</c:v>
                </c:pt>
                <c:pt idx="38">
                  <c:v>1.6043530165187096E-3</c:v>
                </c:pt>
                <c:pt idx="39">
                  <c:v>1.1497282714628699E-2</c:v>
                </c:pt>
                <c:pt idx="40">
                  <c:v>6.1551325505379919E-4</c:v>
                </c:pt>
                <c:pt idx="41">
                  <c:v>1.2688031914662031E-3</c:v>
                </c:pt>
                <c:pt idx="42">
                  <c:v>-1.3657782754548967E-2</c:v>
                </c:pt>
                <c:pt idx="43">
                  <c:v>6.3899047483327402E-4</c:v>
                </c:pt>
                <c:pt idx="44">
                  <c:v>1.7533997390506914E-2</c:v>
                </c:pt>
                <c:pt idx="45">
                  <c:v>-1.2604828802130182E-2</c:v>
                </c:pt>
                <c:pt idx="46">
                  <c:v>5.0341542232569536E-3</c:v>
                </c:pt>
                <c:pt idx="47">
                  <c:v>1.0615490885168555E-3</c:v>
                </c:pt>
                <c:pt idx="48">
                  <c:v>3.4054933146545467E-3</c:v>
                </c:pt>
                <c:pt idx="49">
                  <c:v>1.3603633398347355E-3</c:v>
                </c:pt>
                <c:pt idx="50">
                  <c:v>-1.0113502740822464E-2</c:v>
                </c:pt>
                <c:pt idx="51">
                  <c:v>-5.6381215950220198E-3</c:v>
                </c:pt>
                <c:pt idx="52">
                  <c:v>-9.3963304103831542E-3</c:v>
                </c:pt>
                <c:pt idx="53">
                  <c:v>-1.783670368987569E-2</c:v>
                </c:pt>
                <c:pt idx="54">
                  <c:v>2.1710430730523559E-3</c:v>
                </c:pt>
                <c:pt idx="55">
                  <c:v>4.2689157140518097E-3</c:v>
                </c:pt>
                <c:pt idx="56">
                  <c:v>6.3994923904288634E-3</c:v>
                </c:pt>
                <c:pt idx="57">
                  <c:v>-2.8111604791018832E-3</c:v>
                </c:pt>
                <c:pt idx="58">
                  <c:v>-2.0145664167662298E-3</c:v>
                </c:pt>
                <c:pt idx="59">
                  <c:v>9.0955302901719135E-3</c:v>
                </c:pt>
                <c:pt idx="60">
                  <c:v>-5.1563412097738832E-3</c:v>
                </c:pt>
                <c:pt idx="61">
                  <c:v>6.5686270816912437E-3</c:v>
                </c:pt>
                <c:pt idx="62">
                  <c:v>-7.8209429820682574E-3</c:v>
                </c:pt>
                <c:pt idx="63">
                  <c:v>9.266034689965146E-4</c:v>
                </c:pt>
                <c:pt idx="64">
                  <c:v>1.1798195635977718E-2</c:v>
                </c:pt>
                <c:pt idx="65">
                  <c:v>9.3427653258931175E-3</c:v>
                </c:pt>
                <c:pt idx="66">
                  <c:v>-3.6673801788183534E-3</c:v>
                </c:pt>
                <c:pt idx="67">
                  <c:v>-2.7965843807352987E-3</c:v>
                </c:pt>
                <c:pt idx="68">
                  <c:v>2.333433544964552E-3</c:v>
                </c:pt>
                <c:pt idx="69">
                  <c:v>-6.7814158782132572E-3</c:v>
                </c:pt>
                <c:pt idx="70">
                  <c:v>3.2807426581783214E-3</c:v>
                </c:pt>
                <c:pt idx="71">
                  <c:v>-9.2750429704658189E-4</c:v>
                </c:pt>
                <c:pt idx="72">
                  <c:v>3.6180498106560557E-3</c:v>
                </c:pt>
                <c:pt idx="73">
                  <c:v>-1.4797794496282912E-2</c:v>
                </c:pt>
                <c:pt idx="74">
                  <c:v>1.642023239783663E-3</c:v>
                </c:pt>
                <c:pt idx="75">
                  <c:v>3.1565932214816447E-3</c:v>
                </c:pt>
                <c:pt idx="76">
                  <c:v>1.9017079985573747E-3</c:v>
                </c:pt>
                <c:pt idx="77">
                  <c:v>-2.8733623765841653E-3</c:v>
                </c:pt>
                <c:pt idx="78">
                  <c:v>2.6746785693376727E-3</c:v>
                </c:pt>
                <c:pt idx="79">
                  <c:v>-2.1943359400136259E-3</c:v>
                </c:pt>
                <c:pt idx="80">
                  <c:v>1.3474338901605704E-2</c:v>
                </c:pt>
                <c:pt idx="81">
                  <c:v>7.6687435608072526E-3</c:v>
                </c:pt>
                <c:pt idx="82">
                  <c:v>-3.9640127247541892E-3</c:v>
                </c:pt>
                <c:pt idx="83">
                  <c:v>5.8152377523302797E-3</c:v>
                </c:pt>
                <c:pt idx="84">
                  <c:v>-5.7117187432613702E-3</c:v>
                </c:pt>
                <c:pt idx="85">
                  <c:v>-1.2685992382674826E-2</c:v>
                </c:pt>
                <c:pt idx="86">
                  <c:v>-2.3037912564229583E-3</c:v>
                </c:pt>
                <c:pt idx="87">
                  <c:v>2.0307414030234696E-3</c:v>
                </c:pt>
                <c:pt idx="88">
                  <c:v>-1.1220965388111782E-2</c:v>
                </c:pt>
                <c:pt idx="89">
                  <c:v>-1.8656929845344691E-3</c:v>
                </c:pt>
                <c:pt idx="90">
                  <c:v>2.2012053345456186E-3</c:v>
                </c:pt>
                <c:pt idx="91">
                  <c:v>2.1493891084573506E-3</c:v>
                </c:pt>
                <c:pt idx="92">
                  <c:v>4.0043651317307897E-3</c:v>
                </c:pt>
                <c:pt idx="93">
                  <c:v>6.9393490916608578E-3</c:v>
                </c:pt>
                <c:pt idx="94">
                  <c:v>-6.1395889328577863E-3</c:v>
                </c:pt>
                <c:pt idx="95">
                  <c:v>2.1407731040215955E-3</c:v>
                </c:pt>
                <c:pt idx="96">
                  <c:v>6.8073617906743147E-3</c:v>
                </c:pt>
                <c:pt idx="97">
                  <c:v>-8.5892569546603473E-3</c:v>
                </c:pt>
                <c:pt idx="98">
                  <c:v>-3.149284800978053E-3</c:v>
                </c:pt>
                <c:pt idx="99">
                  <c:v>8.810207593068678E-3</c:v>
                </c:pt>
                <c:pt idx="100">
                  <c:v>-1.3886764684646462E-2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34-44D4-842E-2C2B4599F684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GBM!$K$39:$DG$39</c:f>
              <c:numCache>
                <c:formatCode>General</c:formatCode>
                <c:ptCount val="101"/>
                <c:pt idx="0">
                  <c:v>0</c:v>
                </c:pt>
                <c:pt idx="1">
                  <c:v>2.0044588541008991E-3</c:v>
                </c:pt>
                <c:pt idx="2">
                  <c:v>-4.6358141663769307E-3</c:v>
                </c:pt>
                <c:pt idx="3">
                  <c:v>-1.0766087157953226E-2</c:v>
                </c:pt>
                <c:pt idx="4">
                  <c:v>-5.1162487156273151E-4</c:v>
                </c:pt>
                <c:pt idx="5">
                  <c:v>1.4111917338104519E-4</c:v>
                </c:pt>
                <c:pt idx="6">
                  <c:v>-1.4384742127821251E-2</c:v>
                </c:pt>
                <c:pt idx="7">
                  <c:v>2.6494342032650962E-3</c:v>
                </c:pt>
                <c:pt idx="8">
                  <c:v>1.0027276200252486E-2</c:v>
                </c:pt>
                <c:pt idx="9">
                  <c:v>7.1844797274783583E-4</c:v>
                </c:pt>
                <c:pt idx="10">
                  <c:v>4.2574948529553536E-3</c:v>
                </c:pt>
                <c:pt idx="11">
                  <c:v>-8.6737282744384653E-3</c:v>
                </c:pt>
                <c:pt idx="12">
                  <c:v>-8.7256797453885634E-3</c:v>
                </c:pt>
                <c:pt idx="13">
                  <c:v>-5.3107193503093668E-3</c:v>
                </c:pt>
                <c:pt idx="14">
                  <c:v>2.7633967439759126E-3</c:v>
                </c:pt>
                <c:pt idx="15">
                  <c:v>-5.823501303284421E-3</c:v>
                </c:pt>
                <c:pt idx="16">
                  <c:v>5.4414123381236841E-3</c:v>
                </c:pt>
                <c:pt idx="17">
                  <c:v>-9.5176329343798377E-4</c:v>
                </c:pt>
                <c:pt idx="18">
                  <c:v>1.0651251626409019E-3</c:v>
                </c:pt>
                <c:pt idx="19">
                  <c:v>-5.2136314052598923E-3</c:v>
                </c:pt>
                <c:pt idx="20">
                  <c:v>-8.9281371557630535E-4</c:v>
                </c:pt>
                <c:pt idx="21">
                  <c:v>-6.5647058866336793E-3</c:v>
                </c:pt>
                <c:pt idx="22">
                  <c:v>6.4201604563455736E-3</c:v>
                </c:pt>
                <c:pt idx="23">
                  <c:v>-6.4482893361340029E-3</c:v>
                </c:pt>
                <c:pt idx="24">
                  <c:v>3.0665004785317882E-3</c:v>
                </c:pt>
                <c:pt idx="25">
                  <c:v>-2.7267142925432629E-3</c:v>
                </c:pt>
                <c:pt idx="26">
                  <c:v>1.2404466536719479E-2</c:v>
                </c:pt>
                <c:pt idx="27">
                  <c:v>-3.1987828790908082E-3</c:v>
                </c:pt>
                <c:pt idx="28">
                  <c:v>-8.0658242848204078E-3</c:v>
                </c:pt>
                <c:pt idx="29">
                  <c:v>9.5637169676875845E-3</c:v>
                </c:pt>
                <c:pt idx="30">
                  <c:v>-4.5473714463429892E-3</c:v>
                </c:pt>
                <c:pt idx="31">
                  <c:v>-1.0057881809397205E-2</c:v>
                </c:pt>
                <c:pt idx="32">
                  <c:v>-1.9035843119403356E-3</c:v>
                </c:pt>
                <c:pt idx="33">
                  <c:v>2.0271348824584018E-3</c:v>
                </c:pt>
                <c:pt idx="34">
                  <c:v>7.7376708988085012E-4</c:v>
                </c:pt>
                <c:pt idx="35">
                  <c:v>5.030865866603746E-3</c:v>
                </c:pt>
                <c:pt idx="36">
                  <c:v>6.1472696609890971E-3</c:v>
                </c:pt>
                <c:pt idx="37">
                  <c:v>4.1358791219007467E-3</c:v>
                </c:pt>
                <c:pt idx="38">
                  <c:v>1.1609198056905622E-2</c:v>
                </c:pt>
                <c:pt idx="39">
                  <c:v>-1.8053932019852701E-2</c:v>
                </c:pt>
                <c:pt idx="40">
                  <c:v>-1.4351616216833805E-3</c:v>
                </c:pt>
                <c:pt idx="41">
                  <c:v>8.8142532787560436E-3</c:v>
                </c:pt>
                <c:pt idx="42">
                  <c:v>-5.0600409456955575E-3</c:v>
                </c:pt>
                <c:pt idx="43">
                  <c:v>-1.250687018136252E-2</c:v>
                </c:pt>
                <c:pt idx="44">
                  <c:v>2.2036244479458754E-4</c:v>
                </c:pt>
                <c:pt idx="45">
                  <c:v>2.2187356415707218E-3</c:v>
                </c:pt>
                <c:pt idx="46">
                  <c:v>5.2538279799148923E-3</c:v>
                </c:pt>
                <c:pt idx="47">
                  <c:v>-4.8278856742179719E-3</c:v>
                </c:pt>
                <c:pt idx="48">
                  <c:v>-1.2657879271789641E-2</c:v>
                </c:pt>
                <c:pt idx="49">
                  <c:v>1.0721086538768682E-2</c:v>
                </c:pt>
                <c:pt idx="50">
                  <c:v>-8.8984067882815852E-3</c:v>
                </c:pt>
                <c:pt idx="51">
                  <c:v>1.9321996181812465E-2</c:v>
                </c:pt>
                <c:pt idx="52">
                  <c:v>3.0014421378618673E-3</c:v>
                </c:pt>
                <c:pt idx="53">
                  <c:v>1.0526953581674297E-3</c:v>
                </c:pt>
                <c:pt idx="54">
                  <c:v>-1.8073644072023134E-3</c:v>
                </c:pt>
                <c:pt idx="55">
                  <c:v>3.7379263180540938E-4</c:v>
                </c:pt>
                <c:pt idx="56">
                  <c:v>-9.218799472745018E-4</c:v>
                </c:pt>
                <c:pt idx="57">
                  <c:v>1.5942135636115037E-3</c:v>
                </c:pt>
                <c:pt idx="58">
                  <c:v>9.2006370940896243E-3</c:v>
                </c:pt>
                <c:pt idx="59">
                  <c:v>-4.1228902095918471E-3</c:v>
                </c:pt>
                <c:pt idx="60">
                  <c:v>9.1589787872720339E-3</c:v>
                </c:pt>
                <c:pt idx="61">
                  <c:v>9.6514607761793436E-3</c:v>
                </c:pt>
                <c:pt idx="62">
                  <c:v>-5.2424927391108208E-3</c:v>
                </c:pt>
                <c:pt idx="63">
                  <c:v>-1.0417528632857741E-2</c:v>
                </c:pt>
                <c:pt idx="64">
                  <c:v>-1.5639142224421792E-2</c:v>
                </c:pt>
                <c:pt idx="65">
                  <c:v>1.1530967423074207E-2</c:v>
                </c:pt>
                <c:pt idx="66">
                  <c:v>-8.672029781388507E-4</c:v>
                </c:pt>
                <c:pt idx="67">
                  <c:v>7.3435099331620431E-3</c:v>
                </c:pt>
                <c:pt idx="68">
                  <c:v>6.8046853487904874E-3</c:v>
                </c:pt>
                <c:pt idx="69">
                  <c:v>-7.5245344360786327E-3</c:v>
                </c:pt>
                <c:pt idx="70">
                  <c:v>1.13439835263748E-3</c:v>
                </c:pt>
                <c:pt idx="71">
                  <c:v>1.4691673778580089E-3</c:v>
                </c:pt>
                <c:pt idx="72">
                  <c:v>4.8104120104236247E-3</c:v>
                </c:pt>
                <c:pt idx="73">
                  <c:v>-2.0487754187753292E-3</c:v>
                </c:pt>
                <c:pt idx="74">
                  <c:v>8.5177012490208013E-3</c:v>
                </c:pt>
                <c:pt idx="75">
                  <c:v>6.371250310676777E-3</c:v>
                </c:pt>
                <c:pt idx="76">
                  <c:v>6.4319039218596683E-4</c:v>
                </c:pt>
                <c:pt idx="77">
                  <c:v>1.6095350726747619E-3</c:v>
                </c:pt>
                <c:pt idx="78">
                  <c:v>-5.305890840237415E-3</c:v>
                </c:pt>
                <c:pt idx="79">
                  <c:v>-5.3160891985477819E-3</c:v>
                </c:pt>
                <c:pt idx="80">
                  <c:v>8.6808741395153679E-3</c:v>
                </c:pt>
                <c:pt idx="81">
                  <c:v>2.667573548271302E-4</c:v>
                </c:pt>
                <c:pt idx="82">
                  <c:v>-4.1567117743013839E-3</c:v>
                </c:pt>
                <c:pt idx="83">
                  <c:v>1.0561992559268664E-2</c:v>
                </c:pt>
                <c:pt idx="84">
                  <c:v>1.5833085130422624E-3</c:v>
                </c:pt>
                <c:pt idx="85">
                  <c:v>-9.8196296252934124E-5</c:v>
                </c:pt>
                <c:pt idx="86">
                  <c:v>8.0365345157235122E-3</c:v>
                </c:pt>
                <c:pt idx="87">
                  <c:v>9.7907084797261845E-3</c:v>
                </c:pt>
                <c:pt idx="88">
                  <c:v>1.0122636603023991E-2</c:v>
                </c:pt>
                <c:pt idx="89">
                  <c:v>1.2238918113606943E-3</c:v>
                </c:pt>
                <c:pt idx="90">
                  <c:v>-5.3151408046621731E-3</c:v>
                </c:pt>
                <c:pt idx="91">
                  <c:v>9.8864499315371637E-3</c:v>
                </c:pt>
                <c:pt idx="92">
                  <c:v>1.389114717193005E-2</c:v>
                </c:pt>
                <c:pt idx="93">
                  <c:v>4.6114425434433132E-3</c:v>
                </c:pt>
                <c:pt idx="94">
                  <c:v>-5.2028222905807107E-3</c:v>
                </c:pt>
                <c:pt idx="95">
                  <c:v>5.0391970031937556E-3</c:v>
                </c:pt>
                <c:pt idx="96">
                  <c:v>5.3605959474133658E-3</c:v>
                </c:pt>
                <c:pt idx="97">
                  <c:v>-8.0965507895765908E-3</c:v>
                </c:pt>
                <c:pt idx="98">
                  <c:v>-1.1655710765709268E-2</c:v>
                </c:pt>
                <c:pt idx="99">
                  <c:v>4.5555665939678337E-3</c:v>
                </c:pt>
                <c:pt idx="100">
                  <c:v>1.036766021268954E-2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34-44D4-842E-2C2B4599F684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GBM!$K$40:$DG$40</c:f>
              <c:numCache>
                <c:formatCode>General</c:formatCode>
                <c:ptCount val="101"/>
                <c:pt idx="0">
                  <c:v>0</c:v>
                </c:pt>
                <c:pt idx="1">
                  <c:v>5.2017411364824687E-3</c:v>
                </c:pt>
                <c:pt idx="2">
                  <c:v>-1.5999248818123341E-2</c:v>
                </c:pt>
                <c:pt idx="3">
                  <c:v>-1.0137131083042586E-3</c:v>
                </c:pt>
                <c:pt idx="4">
                  <c:v>3.9640237747700707E-3</c:v>
                </c:pt>
                <c:pt idx="5">
                  <c:v>3.9115487594274904E-3</c:v>
                </c:pt>
                <c:pt idx="6">
                  <c:v>-7.6151349561862395E-3</c:v>
                </c:pt>
                <c:pt idx="7">
                  <c:v>-6.4079448550453831E-3</c:v>
                </c:pt>
                <c:pt idx="8">
                  <c:v>-1.0295413676881315E-2</c:v>
                </c:pt>
                <c:pt idx="9">
                  <c:v>-1.5221212706128626E-2</c:v>
                </c:pt>
                <c:pt idx="10">
                  <c:v>-5.1373075261634355E-3</c:v>
                </c:pt>
                <c:pt idx="11">
                  <c:v>7.859274361432432E-3</c:v>
                </c:pt>
                <c:pt idx="12">
                  <c:v>-2.8139982448735831E-3</c:v>
                </c:pt>
                <c:pt idx="13">
                  <c:v>8.244976058887063E-3</c:v>
                </c:pt>
                <c:pt idx="14">
                  <c:v>-5.602677502459635E-3</c:v>
                </c:pt>
                <c:pt idx="15">
                  <c:v>-2.9664431903509178E-3</c:v>
                </c:pt>
                <c:pt idx="16">
                  <c:v>-2.7772059385866186E-3</c:v>
                </c:pt>
                <c:pt idx="17">
                  <c:v>-4.3401091138159775E-3</c:v>
                </c:pt>
                <c:pt idx="18">
                  <c:v>-1.5190033680303639E-3</c:v>
                </c:pt>
                <c:pt idx="19">
                  <c:v>-7.3632804760738577E-4</c:v>
                </c:pt>
                <c:pt idx="20">
                  <c:v>-5.976772194804701E-3</c:v>
                </c:pt>
                <c:pt idx="21">
                  <c:v>-7.55511110221444E-4</c:v>
                </c:pt>
                <c:pt idx="22">
                  <c:v>6.5716356882528368E-3</c:v>
                </c:pt>
                <c:pt idx="23">
                  <c:v>6.3230356751186158E-3</c:v>
                </c:pt>
                <c:pt idx="24">
                  <c:v>9.3958277774406958E-3</c:v>
                </c:pt>
                <c:pt idx="25">
                  <c:v>-5.6054295555390083E-3</c:v>
                </c:pt>
                <c:pt idx="26">
                  <c:v>2.4690000836985761E-3</c:v>
                </c:pt>
                <c:pt idx="27">
                  <c:v>8.5253882930016681E-3</c:v>
                </c:pt>
                <c:pt idx="28">
                  <c:v>-2.5120274971497966E-3</c:v>
                </c:pt>
                <c:pt idx="29">
                  <c:v>-7.6311168488917384E-3</c:v>
                </c:pt>
                <c:pt idx="30">
                  <c:v>8.0402506924893275E-4</c:v>
                </c:pt>
                <c:pt idx="31">
                  <c:v>-2.9019609355035677E-3</c:v>
                </c:pt>
                <c:pt idx="32">
                  <c:v>-2.3788745302033951E-3</c:v>
                </c:pt>
                <c:pt idx="33">
                  <c:v>5.5475303890170306E-3</c:v>
                </c:pt>
                <c:pt idx="34">
                  <c:v>-4.3263142841911484E-3</c:v>
                </c:pt>
                <c:pt idx="35">
                  <c:v>-5.9372889728592676E-6</c:v>
                </c:pt>
                <c:pt idx="36">
                  <c:v>-9.1913306816290789E-3</c:v>
                </c:pt>
                <c:pt idx="37">
                  <c:v>-2.9348692846917612E-3</c:v>
                </c:pt>
                <c:pt idx="38">
                  <c:v>-1.1262782759050693E-2</c:v>
                </c:pt>
                <c:pt idx="39">
                  <c:v>1.5612176313602121E-3</c:v>
                </c:pt>
                <c:pt idx="40">
                  <c:v>9.1233568801500848E-4</c:v>
                </c:pt>
                <c:pt idx="41">
                  <c:v>-7.0327607690997629E-3</c:v>
                </c:pt>
                <c:pt idx="42">
                  <c:v>7.4440151313606255E-3</c:v>
                </c:pt>
                <c:pt idx="43">
                  <c:v>-1.1395457109996162E-3</c:v>
                </c:pt>
                <c:pt idx="44">
                  <c:v>8.4785088182767095E-3</c:v>
                </c:pt>
                <c:pt idx="45">
                  <c:v>-4.8779251973060109E-3</c:v>
                </c:pt>
                <c:pt idx="46">
                  <c:v>4.5977954010037389E-3</c:v>
                </c:pt>
                <c:pt idx="47">
                  <c:v>4.0438138208593512E-3</c:v>
                </c:pt>
                <c:pt idx="48">
                  <c:v>-1.4910138288390615E-2</c:v>
                </c:pt>
                <c:pt idx="49">
                  <c:v>2.7978499516394684E-3</c:v>
                </c:pt>
                <c:pt idx="50">
                  <c:v>3.4949423211460325E-3</c:v>
                </c:pt>
                <c:pt idx="51">
                  <c:v>1.3479875404888486E-2</c:v>
                </c:pt>
                <c:pt idx="52">
                  <c:v>6.3609627116621775E-3</c:v>
                </c:pt>
                <c:pt idx="53">
                  <c:v>7.7622137370517603E-3</c:v>
                </c:pt>
                <c:pt idx="54">
                  <c:v>1.2019045516165675E-2</c:v>
                </c:pt>
                <c:pt idx="55">
                  <c:v>4.7925895039063098E-3</c:v>
                </c:pt>
                <c:pt idx="56">
                  <c:v>-6.162933043628323E-3</c:v>
                </c:pt>
                <c:pt idx="57">
                  <c:v>9.0494648405075595E-3</c:v>
                </c:pt>
                <c:pt idx="58">
                  <c:v>-1.5533901547467078E-3</c:v>
                </c:pt>
                <c:pt idx="59">
                  <c:v>-2.964755965016895E-4</c:v>
                </c:pt>
                <c:pt idx="60">
                  <c:v>-6.2485684276884414E-3</c:v>
                </c:pt>
                <c:pt idx="61">
                  <c:v>4.8415586604735779E-3</c:v>
                </c:pt>
                <c:pt idx="62">
                  <c:v>-9.8277728121074388E-3</c:v>
                </c:pt>
                <c:pt idx="63">
                  <c:v>4.2143236615169435E-3</c:v>
                </c:pt>
                <c:pt idx="64">
                  <c:v>1.2091965858476951E-2</c:v>
                </c:pt>
                <c:pt idx="65">
                  <c:v>-4.0263560279292043E-4</c:v>
                </c:pt>
                <c:pt idx="66">
                  <c:v>1.6195162219943368E-2</c:v>
                </c:pt>
                <c:pt idx="67">
                  <c:v>-3.1716930862207117E-3</c:v>
                </c:pt>
                <c:pt idx="68">
                  <c:v>4.9848080131108573E-3</c:v>
                </c:pt>
                <c:pt idx="69">
                  <c:v>1.6630330864615829E-2</c:v>
                </c:pt>
                <c:pt idx="70">
                  <c:v>-5.0808594006817394E-4</c:v>
                </c:pt>
                <c:pt idx="71">
                  <c:v>-5.4249060708606829E-3</c:v>
                </c:pt>
                <c:pt idx="72">
                  <c:v>-4.3479294051131778E-3</c:v>
                </c:pt>
                <c:pt idx="73">
                  <c:v>-1.2898306822752116E-3</c:v>
                </c:pt>
                <c:pt idx="74">
                  <c:v>-1.0119271495651835E-2</c:v>
                </c:pt>
                <c:pt idx="75">
                  <c:v>1.3962524804180365E-2</c:v>
                </c:pt>
                <c:pt idx="76">
                  <c:v>4.7867887700417571E-3</c:v>
                </c:pt>
                <c:pt idx="77">
                  <c:v>-4.3336901474861824E-3</c:v>
                </c:pt>
                <c:pt idx="78">
                  <c:v>-9.6482802790507308E-3</c:v>
                </c:pt>
                <c:pt idx="79">
                  <c:v>8.0667720197049719E-3</c:v>
                </c:pt>
                <c:pt idx="80">
                  <c:v>1.5252590211207501E-3</c:v>
                </c:pt>
                <c:pt idx="81">
                  <c:v>4.8482028906248007E-3</c:v>
                </c:pt>
                <c:pt idx="82">
                  <c:v>1.9416478242395162E-3</c:v>
                </c:pt>
                <c:pt idx="83">
                  <c:v>3.3620948355961217E-3</c:v>
                </c:pt>
                <c:pt idx="84">
                  <c:v>-3.5617385008622287E-4</c:v>
                </c:pt>
                <c:pt idx="85">
                  <c:v>-4.7356318129330756E-3</c:v>
                </c:pt>
                <c:pt idx="86">
                  <c:v>-1.8803938522210636E-3</c:v>
                </c:pt>
                <c:pt idx="87">
                  <c:v>-1.1795916115672285E-4</c:v>
                </c:pt>
                <c:pt idx="88">
                  <c:v>-7.2004062755537104E-3</c:v>
                </c:pt>
                <c:pt idx="89">
                  <c:v>-4.4457999515284366E-4</c:v>
                </c:pt>
                <c:pt idx="90">
                  <c:v>-1.7067878812909398E-2</c:v>
                </c:pt>
                <c:pt idx="91">
                  <c:v>-2.4595811220003117E-4</c:v>
                </c:pt>
                <c:pt idx="92">
                  <c:v>2.0335984648155161E-3</c:v>
                </c:pt>
                <c:pt idx="93">
                  <c:v>5.5789328852915484E-3</c:v>
                </c:pt>
                <c:pt idx="94">
                  <c:v>-6.8284448061612239E-5</c:v>
                </c:pt>
                <c:pt idx="95">
                  <c:v>-5.2180503852750854E-3</c:v>
                </c:pt>
                <c:pt idx="96">
                  <c:v>2.2469490730765724E-3</c:v>
                </c:pt>
                <c:pt idx="97">
                  <c:v>8.0793337415715621E-3</c:v>
                </c:pt>
                <c:pt idx="98">
                  <c:v>-3.1911394963217298E-3</c:v>
                </c:pt>
                <c:pt idx="99">
                  <c:v>-1.0555135249847127E-3</c:v>
                </c:pt>
                <c:pt idx="100">
                  <c:v>-7.9054949822317862E-3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34-44D4-842E-2C2B4599F684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GBM!$K$41:$DG$41</c:f>
              <c:numCache>
                <c:formatCode>General</c:formatCode>
                <c:ptCount val="101"/>
                <c:pt idx="0">
                  <c:v>0</c:v>
                </c:pt>
                <c:pt idx="1">
                  <c:v>-1.4786956023109249E-2</c:v>
                </c:pt>
                <c:pt idx="2">
                  <c:v>-1.0059832036023141E-2</c:v>
                </c:pt>
                <c:pt idx="3">
                  <c:v>5.519498592997195E-3</c:v>
                </c:pt>
                <c:pt idx="4">
                  <c:v>3.9616587698628556E-3</c:v>
                </c:pt>
                <c:pt idx="5">
                  <c:v>6.7946753901470388E-3</c:v>
                </c:pt>
                <c:pt idx="6">
                  <c:v>-2.3961442940390577E-3</c:v>
                </c:pt>
                <c:pt idx="7">
                  <c:v>-1.0038274409243477E-2</c:v>
                </c:pt>
                <c:pt idx="8">
                  <c:v>6.019637589672922E-3</c:v>
                </c:pt>
                <c:pt idx="9">
                  <c:v>2.1200307737442772E-3</c:v>
                </c:pt>
                <c:pt idx="10">
                  <c:v>6.6686635573918866E-4</c:v>
                </c:pt>
                <c:pt idx="11">
                  <c:v>-2.815666136634067E-3</c:v>
                </c:pt>
                <c:pt idx="12">
                  <c:v>8.5196109971209938E-3</c:v>
                </c:pt>
                <c:pt idx="13">
                  <c:v>4.9600806123666361E-3</c:v>
                </c:pt>
                <c:pt idx="14">
                  <c:v>9.6979377802387939E-3</c:v>
                </c:pt>
                <c:pt idx="15">
                  <c:v>3.440182190842966E-3</c:v>
                </c:pt>
                <c:pt idx="16">
                  <c:v>-1.2955746845769214E-2</c:v>
                </c:pt>
                <c:pt idx="17">
                  <c:v>-6.9075078489423437E-3</c:v>
                </c:pt>
                <c:pt idx="18">
                  <c:v>3.0575595584415947E-3</c:v>
                </c:pt>
                <c:pt idx="19">
                  <c:v>-3.9777842660795705E-3</c:v>
                </c:pt>
                <c:pt idx="20">
                  <c:v>5.6970876289079899E-3</c:v>
                </c:pt>
                <c:pt idx="21">
                  <c:v>4.1831515694507812E-3</c:v>
                </c:pt>
                <c:pt idx="22">
                  <c:v>-8.9257570230239416E-3</c:v>
                </c:pt>
                <c:pt idx="23">
                  <c:v>-4.4425120564279951E-3</c:v>
                </c:pt>
                <c:pt idx="24">
                  <c:v>2.3229354255681245E-3</c:v>
                </c:pt>
                <c:pt idx="25">
                  <c:v>-1.4486126211137693E-2</c:v>
                </c:pt>
                <c:pt idx="26">
                  <c:v>1.9579820807552437E-3</c:v>
                </c:pt>
                <c:pt idx="27">
                  <c:v>-4.1595751260291945E-3</c:v>
                </c:pt>
                <c:pt idx="28">
                  <c:v>5.5654728337314234E-3</c:v>
                </c:pt>
                <c:pt idx="29">
                  <c:v>-7.5293660937050177E-3</c:v>
                </c:pt>
                <c:pt idx="30">
                  <c:v>-1.3711752439783117E-2</c:v>
                </c:pt>
                <c:pt idx="31">
                  <c:v>1.4314571848688003E-2</c:v>
                </c:pt>
                <c:pt idx="32">
                  <c:v>5.5708371810775127E-3</c:v>
                </c:pt>
                <c:pt idx="33">
                  <c:v>7.7390525119747505E-3</c:v>
                </c:pt>
                <c:pt idx="34">
                  <c:v>2.9586996752151585E-3</c:v>
                </c:pt>
                <c:pt idx="35">
                  <c:v>5.8490001182166459E-4</c:v>
                </c:pt>
                <c:pt idx="36">
                  <c:v>6.1426127882270403E-4</c:v>
                </c:pt>
                <c:pt idx="37">
                  <c:v>-1.6940841217428866E-3</c:v>
                </c:pt>
                <c:pt idx="38">
                  <c:v>-2.1394122046423185E-3</c:v>
                </c:pt>
                <c:pt idx="39">
                  <c:v>2.1228624421143387E-3</c:v>
                </c:pt>
                <c:pt idx="40">
                  <c:v>-4.0417213921323785E-3</c:v>
                </c:pt>
                <c:pt idx="41">
                  <c:v>2.6670031882284136E-3</c:v>
                </c:pt>
                <c:pt idx="42">
                  <c:v>-6.3464757621820161E-3</c:v>
                </c:pt>
                <c:pt idx="43">
                  <c:v>-1.1034077922492011E-2</c:v>
                </c:pt>
                <c:pt idx="44">
                  <c:v>6.7055297718354645E-3</c:v>
                </c:pt>
                <c:pt idx="45">
                  <c:v>5.2716947325871398E-3</c:v>
                </c:pt>
                <c:pt idx="46">
                  <c:v>-2.8884465282122615E-3</c:v>
                </c:pt>
                <c:pt idx="47">
                  <c:v>1.9279760681680344E-2</c:v>
                </c:pt>
                <c:pt idx="48">
                  <c:v>5.5187346815421794E-3</c:v>
                </c:pt>
                <c:pt idx="49">
                  <c:v>1.2830860072467309E-2</c:v>
                </c:pt>
                <c:pt idx="50">
                  <c:v>-1.5652798512839595E-3</c:v>
                </c:pt>
                <c:pt idx="51">
                  <c:v>8.8485242673758439E-5</c:v>
                </c:pt>
                <c:pt idx="52">
                  <c:v>2.6860874154132626E-3</c:v>
                </c:pt>
                <c:pt idx="53">
                  <c:v>-6.2287875512918901E-3</c:v>
                </c:pt>
                <c:pt idx="54">
                  <c:v>-1.7460711603865206E-3</c:v>
                </c:pt>
                <c:pt idx="55">
                  <c:v>-1.8525265594019279E-3</c:v>
                </c:pt>
                <c:pt idx="56">
                  <c:v>7.3373131859777001E-3</c:v>
                </c:pt>
                <c:pt idx="57">
                  <c:v>2.3392450328306082E-3</c:v>
                </c:pt>
                <c:pt idx="58">
                  <c:v>4.0185030741792995E-3</c:v>
                </c:pt>
                <c:pt idx="59">
                  <c:v>7.2747750225687843E-3</c:v>
                </c:pt>
                <c:pt idx="60">
                  <c:v>-5.5680347897396672E-3</c:v>
                </c:pt>
                <c:pt idx="61">
                  <c:v>3.5168481589819473E-3</c:v>
                </c:pt>
                <c:pt idx="62">
                  <c:v>1.8659156867746638E-2</c:v>
                </c:pt>
                <c:pt idx="63">
                  <c:v>-1.1247934074596024E-5</c:v>
                </c:pt>
                <c:pt idx="64">
                  <c:v>-2.595881000192831E-3</c:v>
                </c:pt>
                <c:pt idx="65">
                  <c:v>3.6931941811794125E-3</c:v>
                </c:pt>
                <c:pt idx="66">
                  <c:v>5.6060452981827333E-3</c:v>
                </c:pt>
                <c:pt idx="67">
                  <c:v>9.2252832486706461E-4</c:v>
                </c:pt>
                <c:pt idx="68">
                  <c:v>-7.6864109054426239E-3</c:v>
                </c:pt>
                <c:pt idx="69">
                  <c:v>1.0007696151841188E-3</c:v>
                </c:pt>
                <c:pt idx="70">
                  <c:v>9.7144362438796646E-3</c:v>
                </c:pt>
                <c:pt idx="71">
                  <c:v>1.4496806908449188E-2</c:v>
                </c:pt>
                <c:pt idx="72">
                  <c:v>-2.3277997947693204E-3</c:v>
                </c:pt>
                <c:pt idx="73">
                  <c:v>-2.1698219403822371E-3</c:v>
                </c:pt>
                <c:pt idx="74">
                  <c:v>-8.8737429416198103E-4</c:v>
                </c:pt>
                <c:pt idx="75">
                  <c:v>-3.7038258796587681E-3</c:v>
                </c:pt>
                <c:pt idx="76">
                  <c:v>3.5656570363473521E-3</c:v>
                </c:pt>
                <c:pt idx="77">
                  <c:v>2.2306560051436552E-3</c:v>
                </c:pt>
                <c:pt idx="78">
                  <c:v>1.0702221127993515E-2</c:v>
                </c:pt>
                <c:pt idx="79">
                  <c:v>-5.1250605685744374E-3</c:v>
                </c:pt>
                <c:pt idx="80">
                  <c:v>-4.5422426409440697E-3</c:v>
                </c:pt>
                <c:pt idx="81">
                  <c:v>2.3700965727953729E-2</c:v>
                </c:pt>
                <c:pt idx="82">
                  <c:v>-5.2076141383231734E-3</c:v>
                </c:pt>
                <c:pt idx="83">
                  <c:v>-1.7742518342480484E-3</c:v>
                </c:pt>
                <c:pt idx="84">
                  <c:v>1.9901270111194421E-3</c:v>
                </c:pt>
                <c:pt idx="85">
                  <c:v>-6.3844957720892602E-3</c:v>
                </c:pt>
                <c:pt idx="86">
                  <c:v>-7.0294569282113514E-3</c:v>
                </c:pt>
                <c:pt idx="87">
                  <c:v>8.0976004944691236E-4</c:v>
                </c:pt>
                <c:pt idx="88">
                  <c:v>8.7034523941258626E-3</c:v>
                </c:pt>
                <c:pt idx="89">
                  <c:v>7.979932575821962E-5</c:v>
                </c:pt>
                <c:pt idx="90">
                  <c:v>-6.8772385299794604E-3</c:v>
                </c:pt>
                <c:pt idx="91">
                  <c:v>-9.6889394848736696E-3</c:v>
                </c:pt>
                <c:pt idx="92">
                  <c:v>4.6989152720158904E-3</c:v>
                </c:pt>
                <c:pt idx="93">
                  <c:v>-4.2858953367350431E-3</c:v>
                </c:pt>
                <c:pt idx="94">
                  <c:v>-4.5902036163191356E-3</c:v>
                </c:pt>
                <c:pt idx="95">
                  <c:v>2.9211827024981239E-3</c:v>
                </c:pt>
                <c:pt idx="96">
                  <c:v>3.9458659222038178E-4</c:v>
                </c:pt>
                <c:pt idx="97">
                  <c:v>-1.2840556889658409E-3</c:v>
                </c:pt>
                <c:pt idx="98">
                  <c:v>-9.1163675579007467E-3</c:v>
                </c:pt>
                <c:pt idx="99">
                  <c:v>-4.544552324222793E-3</c:v>
                </c:pt>
                <c:pt idx="100">
                  <c:v>-2.4241784739963967E-4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34-44D4-842E-2C2B4599F684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GBM!$K$42:$DG$42</c:f>
              <c:numCache>
                <c:formatCode>General</c:formatCode>
                <c:ptCount val="101"/>
                <c:pt idx="0">
                  <c:v>0</c:v>
                </c:pt>
                <c:pt idx="1">
                  <c:v>-4.2058072132792994E-3</c:v>
                </c:pt>
                <c:pt idx="2">
                  <c:v>-4.2598071901622965E-3</c:v>
                </c:pt>
                <c:pt idx="3">
                  <c:v>6.3187584746278377E-3</c:v>
                </c:pt>
                <c:pt idx="4">
                  <c:v>-2.692436871978112E-3</c:v>
                </c:pt>
                <c:pt idx="5">
                  <c:v>-2.7398477857617713E-3</c:v>
                </c:pt>
                <c:pt idx="6">
                  <c:v>6.8894848868382777E-3</c:v>
                </c:pt>
                <c:pt idx="7">
                  <c:v>4.4058251142579915E-3</c:v>
                </c:pt>
                <c:pt idx="8">
                  <c:v>1.069286453006525E-2</c:v>
                </c:pt>
                <c:pt idx="9">
                  <c:v>1.9310093132008138E-3</c:v>
                </c:pt>
                <c:pt idx="10">
                  <c:v>-1.663491364946933E-2</c:v>
                </c:pt>
                <c:pt idx="11">
                  <c:v>9.1169970155424154E-4</c:v>
                </c:pt>
                <c:pt idx="12">
                  <c:v>-9.208838817868166E-3</c:v>
                </c:pt>
                <c:pt idx="13">
                  <c:v>1.2241256643112139E-2</c:v>
                </c:pt>
                <c:pt idx="14">
                  <c:v>-3.0546394145807058E-3</c:v>
                </c:pt>
                <c:pt idx="15">
                  <c:v>2.3829111717903837E-3</c:v>
                </c:pt>
                <c:pt idx="16">
                  <c:v>1.5575129695715584E-4</c:v>
                </c:pt>
                <c:pt idx="17">
                  <c:v>6.8186883496677668E-3</c:v>
                </c:pt>
                <c:pt idx="18">
                  <c:v>2.810776772590741E-3</c:v>
                </c:pt>
                <c:pt idx="19">
                  <c:v>-1.798918746018412E-2</c:v>
                </c:pt>
                <c:pt idx="20">
                  <c:v>5.748561224411656E-3</c:v>
                </c:pt>
                <c:pt idx="21">
                  <c:v>-9.2846287574915014E-3</c:v>
                </c:pt>
                <c:pt idx="22">
                  <c:v>9.3680894164743268E-3</c:v>
                </c:pt>
                <c:pt idx="23">
                  <c:v>-1.5823699277778104E-3</c:v>
                </c:pt>
                <c:pt idx="24">
                  <c:v>-1.700520226604384E-2</c:v>
                </c:pt>
                <c:pt idx="25">
                  <c:v>5.0463576606369613E-5</c:v>
                </c:pt>
                <c:pt idx="26">
                  <c:v>1.6456275966737779E-2</c:v>
                </c:pt>
                <c:pt idx="27">
                  <c:v>-8.6477302944468291E-3</c:v>
                </c:pt>
                <c:pt idx="28">
                  <c:v>4.7836134815208891E-3</c:v>
                </c:pt>
                <c:pt idx="29">
                  <c:v>4.3294354883010181E-3</c:v>
                </c:pt>
                <c:pt idx="30">
                  <c:v>1.5044288484442041E-2</c:v>
                </c:pt>
                <c:pt idx="31">
                  <c:v>8.5701626379141929E-3</c:v>
                </c:pt>
                <c:pt idx="32">
                  <c:v>1.167079407548398E-2</c:v>
                </c:pt>
                <c:pt idx="33">
                  <c:v>6.4961728878402481E-3</c:v>
                </c:pt>
                <c:pt idx="34">
                  <c:v>-8.1756419578939508E-3</c:v>
                </c:pt>
                <c:pt idx="35">
                  <c:v>3.1813290393562735E-3</c:v>
                </c:pt>
                <c:pt idx="36">
                  <c:v>2.0593440309470746E-3</c:v>
                </c:pt>
                <c:pt idx="37">
                  <c:v>-5.8708754480719079E-3</c:v>
                </c:pt>
                <c:pt idx="38">
                  <c:v>1.546796385711743E-2</c:v>
                </c:pt>
                <c:pt idx="39">
                  <c:v>-6.9866321943700778E-3</c:v>
                </c:pt>
                <c:pt idx="40">
                  <c:v>-6.3515624269023675E-3</c:v>
                </c:pt>
                <c:pt idx="41">
                  <c:v>-2.8522854516396193E-3</c:v>
                </c:pt>
                <c:pt idx="42">
                  <c:v>-6.8647534877649431E-4</c:v>
                </c:pt>
                <c:pt idx="43">
                  <c:v>6.2576230154289393E-4</c:v>
                </c:pt>
                <c:pt idx="44">
                  <c:v>5.078100802048781E-3</c:v>
                </c:pt>
                <c:pt idx="45">
                  <c:v>3.7672739384390099E-3</c:v>
                </c:pt>
                <c:pt idx="46">
                  <c:v>-6.5754818071377535E-3</c:v>
                </c:pt>
                <c:pt idx="47">
                  <c:v>1.0520757805264017E-3</c:v>
                </c:pt>
                <c:pt idx="48">
                  <c:v>3.1400695308158271E-4</c:v>
                </c:pt>
                <c:pt idx="49">
                  <c:v>-2.3478264339456541E-3</c:v>
                </c:pt>
                <c:pt idx="50">
                  <c:v>-7.6352532362540118E-3</c:v>
                </c:pt>
                <c:pt idx="51">
                  <c:v>8.5136402218044249E-3</c:v>
                </c:pt>
                <c:pt idx="52">
                  <c:v>-8.6659797479219959E-3</c:v>
                </c:pt>
                <c:pt idx="53">
                  <c:v>4.3980101118824104E-3</c:v>
                </c:pt>
                <c:pt idx="54">
                  <c:v>8.1760376166557401E-4</c:v>
                </c:pt>
                <c:pt idx="55">
                  <c:v>-6.939393073968219E-3</c:v>
                </c:pt>
                <c:pt idx="56">
                  <c:v>-9.033988136298278E-3</c:v>
                </c:pt>
                <c:pt idx="57">
                  <c:v>2.7022090049139201E-4</c:v>
                </c:pt>
                <c:pt idx="58">
                  <c:v>5.8494459778536271E-3</c:v>
                </c:pt>
                <c:pt idx="59">
                  <c:v>-4.6611857362377296E-3</c:v>
                </c:pt>
                <c:pt idx="60">
                  <c:v>3.5788048879150367E-3</c:v>
                </c:pt>
                <c:pt idx="61">
                  <c:v>7.0505226309545629E-3</c:v>
                </c:pt>
                <c:pt idx="62">
                  <c:v>-5.1510463651317151E-3</c:v>
                </c:pt>
                <c:pt idx="63">
                  <c:v>6.222348272955933E-3</c:v>
                </c:pt>
                <c:pt idx="64">
                  <c:v>-6.4705914594033725E-3</c:v>
                </c:pt>
                <c:pt idx="65">
                  <c:v>3.8360037794508573E-3</c:v>
                </c:pt>
                <c:pt idx="66">
                  <c:v>-2.037753312441672E-2</c:v>
                </c:pt>
                <c:pt idx="67">
                  <c:v>-2.9971705357187802E-4</c:v>
                </c:pt>
                <c:pt idx="68">
                  <c:v>-3.8218406975185784E-3</c:v>
                </c:pt>
                <c:pt idx="69">
                  <c:v>1.2207410246726703E-2</c:v>
                </c:pt>
                <c:pt idx="70">
                  <c:v>-5.4291538134238924E-3</c:v>
                </c:pt>
                <c:pt idx="71">
                  <c:v>-6.0402605102363328E-3</c:v>
                </c:pt>
                <c:pt idx="72">
                  <c:v>1.636583941011982E-2</c:v>
                </c:pt>
                <c:pt idx="73">
                  <c:v>1.7060357563109941E-3</c:v>
                </c:pt>
                <c:pt idx="74">
                  <c:v>-1.4400489228317274E-2</c:v>
                </c:pt>
                <c:pt idx="75">
                  <c:v>5.0272987682035211E-3</c:v>
                </c:pt>
                <c:pt idx="76">
                  <c:v>-2.7642698415174553E-3</c:v>
                </c:pt>
                <c:pt idx="77">
                  <c:v>1.7184172565328636E-3</c:v>
                </c:pt>
                <c:pt idx="78">
                  <c:v>8.0419524569803544E-4</c:v>
                </c:pt>
                <c:pt idx="79">
                  <c:v>1.2726853429630302E-2</c:v>
                </c:pt>
                <c:pt idx="80">
                  <c:v>-1.3750959848327382E-3</c:v>
                </c:pt>
                <c:pt idx="81">
                  <c:v>3.5797827990372922E-3</c:v>
                </c:pt>
                <c:pt idx="82">
                  <c:v>-4.556083214543892E-3</c:v>
                </c:pt>
                <c:pt idx="83">
                  <c:v>4.8352275753709892E-4</c:v>
                </c:pt>
                <c:pt idx="84">
                  <c:v>-1.668915181879503E-3</c:v>
                </c:pt>
                <c:pt idx="85">
                  <c:v>-2.3244168557753921E-3</c:v>
                </c:pt>
                <c:pt idx="86">
                  <c:v>6.1228598640419149E-3</c:v>
                </c:pt>
                <c:pt idx="87">
                  <c:v>5.5062665604117926E-3</c:v>
                </c:pt>
                <c:pt idx="88">
                  <c:v>5.3006112538834631E-3</c:v>
                </c:pt>
                <c:pt idx="89">
                  <c:v>9.9049766779246381E-4</c:v>
                </c:pt>
                <c:pt idx="90">
                  <c:v>-1.8062876122719499E-3</c:v>
                </c:pt>
                <c:pt idx="91">
                  <c:v>-8.9188816231763912E-4</c:v>
                </c:pt>
                <c:pt idx="92">
                  <c:v>-2.0824987190926876E-3</c:v>
                </c:pt>
                <c:pt idx="93">
                  <c:v>-1.013462067893742E-3</c:v>
                </c:pt>
                <c:pt idx="94">
                  <c:v>3.3387240656536322E-3</c:v>
                </c:pt>
                <c:pt idx="95">
                  <c:v>2.0979130721668167E-3</c:v>
                </c:pt>
                <c:pt idx="96">
                  <c:v>-9.5114911173278388E-3</c:v>
                </c:pt>
                <c:pt idx="97">
                  <c:v>3.2902287075781233E-3</c:v>
                </c:pt>
                <c:pt idx="98">
                  <c:v>4.2554933982253251E-3</c:v>
                </c:pt>
                <c:pt idx="99">
                  <c:v>7.446547207203253E-4</c:v>
                </c:pt>
                <c:pt idx="100">
                  <c:v>3.106953191998657E-3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E34-44D4-842E-2C2B4599F684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GBM!$K$43:$DG$43</c:f>
              <c:numCache>
                <c:formatCode>General</c:formatCode>
                <c:ptCount val="101"/>
                <c:pt idx="0">
                  <c:v>0</c:v>
                </c:pt>
                <c:pt idx="1">
                  <c:v>8.5379743298765309E-3</c:v>
                </c:pt>
                <c:pt idx="2">
                  <c:v>5.5671468740613904E-3</c:v>
                </c:pt>
                <c:pt idx="3">
                  <c:v>2.4931860227443894E-3</c:v>
                </c:pt>
                <c:pt idx="4">
                  <c:v>-1.0140416211659659E-3</c:v>
                </c:pt>
                <c:pt idx="5">
                  <c:v>-2.7694741595753387E-3</c:v>
                </c:pt>
                <c:pt idx="6">
                  <c:v>-1.0885847996209536E-2</c:v>
                </c:pt>
                <c:pt idx="7">
                  <c:v>1.3502741485595601E-2</c:v>
                </c:pt>
                <c:pt idx="8">
                  <c:v>7.2573203931168917E-3</c:v>
                </c:pt>
                <c:pt idx="9">
                  <c:v>-7.4205626907145232E-3</c:v>
                </c:pt>
                <c:pt idx="10">
                  <c:v>-4.4751863018090048E-3</c:v>
                </c:pt>
                <c:pt idx="11">
                  <c:v>9.534311249260196E-3</c:v>
                </c:pt>
                <c:pt idx="12">
                  <c:v>6.8413927474242032E-3</c:v>
                </c:pt>
                <c:pt idx="13">
                  <c:v>-5.5373676481805393E-3</c:v>
                </c:pt>
                <c:pt idx="14">
                  <c:v>4.4318934600104636E-4</c:v>
                </c:pt>
                <c:pt idx="15">
                  <c:v>-2.6570133863169656E-3</c:v>
                </c:pt>
                <c:pt idx="16">
                  <c:v>-2.6689390180199405E-3</c:v>
                </c:pt>
                <c:pt idx="17">
                  <c:v>-5.4098388623391074E-3</c:v>
                </c:pt>
                <c:pt idx="18">
                  <c:v>1.3370818243569364E-2</c:v>
                </c:pt>
                <c:pt idx="19">
                  <c:v>6.7629540000021613E-3</c:v>
                </c:pt>
                <c:pt idx="20">
                  <c:v>-7.3203022149627393E-3</c:v>
                </c:pt>
                <c:pt idx="21">
                  <c:v>1.8809007770438804E-3</c:v>
                </c:pt>
                <c:pt idx="22">
                  <c:v>-7.0143171150772966E-3</c:v>
                </c:pt>
                <c:pt idx="23">
                  <c:v>8.4939351828405892E-3</c:v>
                </c:pt>
                <c:pt idx="24">
                  <c:v>7.8546352161937335E-3</c:v>
                </c:pt>
                <c:pt idx="25">
                  <c:v>-1.2030032729563274E-2</c:v>
                </c:pt>
                <c:pt idx="26">
                  <c:v>5.1740146735275352E-3</c:v>
                </c:pt>
                <c:pt idx="27">
                  <c:v>-2.1622206419821999E-3</c:v>
                </c:pt>
                <c:pt idx="28">
                  <c:v>-1.4632609575013463E-2</c:v>
                </c:pt>
                <c:pt idx="29">
                  <c:v>-2.3000919025596735E-3</c:v>
                </c:pt>
                <c:pt idx="30">
                  <c:v>-1.8431536418025852E-2</c:v>
                </c:pt>
                <c:pt idx="31">
                  <c:v>-2.9808452741590663E-3</c:v>
                </c:pt>
                <c:pt idx="32">
                  <c:v>-2.6144810092172579E-4</c:v>
                </c:pt>
                <c:pt idx="33">
                  <c:v>3.6023848088231495E-4</c:v>
                </c:pt>
                <c:pt idx="34">
                  <c:v>-8.0688470466588214E-3</c:v>
                </c:pt>
                <c:pt idx="35">
                  <c:v>-7.8622715796263249E-3</c:v>
                </c:pt>
                <c:pt idx="36">
                  <c:v>5.9927986889320997E-4</c:v>
                </c:pt>
                <c:pt idx="37">
                  <c:v>6.1163760303684202E-3</c:v>
                </c:pt>
                <c:pt idx="38">
                  <c:v>1.8080629465339138E-3</c:v>
                </c:pt>
                <c:pt idx="39">
                  <c:v>7.0888608687639761E-4</c:v>
                </c:pt>
                <c:pt idx="40">
                  <c:v>1.118285924435654E-2</c:v>
                </c:pt>
                <c:pt idx="41">
                  <c:v>-3.4277986247630361E-3</c:v>
                </c:pt>
                <c:pt idx="42">
                  <c:v>-1.557469309409937E-3</c:v>
                </c:pt>
                <c:pt idx="43">
                  <c:v>6.8996550113260954E-4</c:v>
                </c:pt>
                <c:pt idx="44">
                  <c:v>1.4951087945172525E-2</c:v>
                </c:pt>
                <c:pt idx="45">
                  <c:v>-3.397460915522431E-3</c:v>
                </c:pt>
                <c:pt idx="46">
                  <c:v>1.1467737971433634E-2</c:v>
                </c:pt>
                <c:pt idx="47">
                  <c:v>1.2622686308716747E-4</c:v>
                </c:pt>
                <c:pt idx="48">
                  <c:v>3.3536227021983274E-3</c:v>
                </c:pt>
                <c:pt idx="49">
                  <c:v>-5.8374636294549779E-3</c:v>
                </c:pt>
                <c:pt idx="50">
                  <c:v>2.1122302534313658E-3</c:v>
                </c:pt>
                <c:pt idx="51">
                  <c:v>9.9325519600005786E-3</c:v>
                </c:pt>
                <c:pt idx="52">
                  <c:v>9.4982476813076911E-4</c:v>
                </c:pt>
                <c:pt idx="53">
                  <c:v>-1.9183830092731773E-3</c:v>
                </c:pt>
                <c:pt idx="54">
                  <c:v>-6.3856820238460451E-3</c:v>
                </c:pt>
                <c:pt idx="55">
                  <c:v>-5.5111834445080955E-3</c:v>
                </c:pt>
                <c:pt idx="56">
                  <c:v>3.1521086430565102E-3</c:v>
                </c:pt>
                <c:pt idx="57">
                  <c:v>1.7317778192100298E-3</c:v>
                </c:pt>
                <c:pt idx="58">
                  <c:v>6.7603352993955397E-3</c:v>
                </c:pt>
                <c:pt idx="59">
                  <c:v>-9.7626838889103233E-3</c:v>
                </c:pt>
                <c:pt idx="60">
                  <c:v>-9.6193549870917678E-3</c:v>
                </c:pt>
                <c:pt idx="61">
                  <c:v>2.6693740550060288E-3</c:v>
                </c:pt>
                <c:pt idx="62">
                  <c:v>-4.1241644018558409E-4</c:v>
                </c:pt>
                <c:pt idx="63">
                  <c:v>-5.1318187997669669E-3</c:v>
                </c:pt>
                <c:pt idx="64">
                  <c:v>-1.5873047436119731E-3</c:v>
                </c:pt>
                <c:pt idx="65">
                  <c:v>-5.1651190570465855E-3</c:v>
                </c:pt>
                <c:pt idx="66">
                  <c:v>-2.9490118236244491E-3</c:v>
                </c:pt>
                <c:pt idx="67">
                  <c:v>-5.3707021253532146E-3</c:v>
                </c:pt>
                <c:pt idx="68">
                  <c:v>2.9163973445390087E-3</c:v>
                </c:pt>
                <c:pt idx="69">
                  <c:v>2.5646552259783327E-4</c:v>
                </c:pt>
                <c:pt idx="70">
                  <c:v>1.5094716591813647E-3</c:v>
                </c:pt>
                <c:pt idx="71">
                  <c:v>5.0108955976006751E-3</c:v>
                </c:pt>
                <c:pt idx="72">
                  <c:v>1.1307819107062534E-3</c:v>
                </c:pt>
                <c:pt idx="73">
                  <c:v>-4.7233140418085065E-3</c:v>
                </c:pt>
                <c:pt idx="74">
                  <c:v>3.6834592503765086E-3</c:v>
                </c:pt>
                <c:pt idx="75">
                  <c:v>6.5168266325821827E-3</c:v>
                </c:pt>
                <c:pt idx="76">
                  <c:v>9.2390540183023336E-3</c:v>
                </c:pt>
                <c:pt idx="77">
                  <c:v>1.3168972624294239E-2</c:v>
                </c:pt>
                <c:pt idx="78">
                  <c:v>-5.3913126795730936E-3</c:v>
                </c:pt>
                <c:pt idx="79">
                  <c:v>-1.0420409820875979E-2</c:v>
                </c:pt>
                <c:pt idx="80">
                  <c:v>2.4425616475369245E-3</c:v>
                </c:pt>
                <c:pt idx="81">
                  <c:v>8.8076873487945226E-3</c:v>
                </c:pt>
                <c:pt idx="82">
                  <c:v>-7.0502900205898856E-3</c:v>
                </c:pt>
                <c:pt idx="83">
                  <c:v>-5.4379123280940325E-3</c:v>
                </c:pt>
                <c:pt idx="84">
                  <c:v>5.3589904076469779E-3</c:v>
                </c:pt>
                <c:pt idx="85">
                  <c:v>-5.8545734022687427E-3</c:v>
                </c:pt>
                <c:pt idx="86">
                  <c:v>1.5300479482320333E-3</c:v>
                </c:pt>
                <c:pt idx="87">
                  <c:v>-1.0336595531406936E-2</c:v>
                </c:pt>
                <c:pt idx="88">
                  <c:v>8.9707998669383109E-3</c:v>
                </c:pt>
                <c:pt idx="89">
                  <c:v>-8.1357201734580751E-3</c:v>
                </c:pt>
                <c:pt idx="90">
                  <c:v>-5.3874023025221327E-3</c:v>
                </c:pt>
                <c:pt idx="91">
                  <c:v>-4.3889312020239466E-3</c:v>
                </c:pt>
                <c:pt idx="92">
                  <c:v>-8.0956178085954192E-3</c:v>
                </c:pt>
                <c:pt idx="93">
                  <c:v>3.3845315993889687E-3</c:v>
                </c:pt>
                <c:pt idx="94">
                  <c:v>-7.5320737390033431E-3</c:v>
                </c:pt>
                <c:pt idx="95">
                  <c:v>-6.1010835243498001E-4</c:v>
                </c:pt>
                <c:pt idx="96">
                  <c:v>-4.0796990978195632E-3</c:v>
                </c:pt>
                <c:pt idx="97">
                  <c:v>-6.688226050006543E-4</c:v>
                </c:pt>
                <c:pt idx="98">
                  <c:v>2.890082765091069E-3</c:v>
                </c:pt>
                <c:pt idx="99">
                  <c:v>-9.9036579137757874E-3</c:v>
                </c:pt>
                <c:pt idx="100">
                  <c:v>8.023279207195538E-3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E34-44D4-842E-2C2B4599F684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GBM!$K$44:$DG$44</c:f>
              <c:numCache>
                <c:formatCode>General</c:formatCode>
                <c:ptCount val="101"/>
                <c:pt idx="0">
                  <c:v>0</c:v>
                </c:pt>
                <c:pt idx="1">
                  <c:v>-3.7235723948416594E-3</c:v>
                </c:pt>
                <c:pt idx="2">
                  <c:v>4.8010542553776937E-3</c:v>
                </c:pt>
                <c:pt idx="3">
                  <c:v>4.899410574066382E-3</c:v>
                </c:pt>
                <c:pt idx="4">
                  <c:v>-1.2244120004343793E-3</c:v>
                </c:pt>
                <c:pt idx="5">
                  <c:v>-2.1743400488857634E-3</c:v>
                </c:pt>
                <c:pt idx="6">
                  <c:v>8.2658506813243753E-4</c:v>
                </c:pt>
                <c:pt idx="7">
                  <c:v>-6.8330998972121158E-3</c:v>
                </c:pt>
                <c:pt idx="8">
                  <c:v>9.1493299994187889E-4</c:v>
                </c:pt>
                <c:pt idx="9">
                  <c:v>2.2294124914521017E-3</c:v>
                </c:pt>
                <c:pt idx="10">
                  <c:v>6.1602358099486628E-3</c:v>
                </c:pt>
                <c:pt idx="11">
                  <c:v>-1.8824315154669321E-3</c:v>
                </c:pt>
                <c:pt idx="12">
                  <c:v>-2.8714589472188926E-3</c:v>
                </c:pt>
                <c:pt idx="13">
                  <c:v>1.8151015782693696E-3</c:v>
                </c:pt>
                <c:pt idx="14">
                  <c:v>-1.2299244999947246E-2</c:v>
                </c:pt>
                <c:pt idx="15">
                  <c:v>-5.5433420101398711E-4</c:v>
                </c:pt>
                <c:pt idx="16">
                  <c:v>-5.2120257708650284E-3</c:v>
                </c:pt>
                <c:pt idx="17">
                  <c:v>-1.2549381325236125E-3</c:v>
                </c:pt>
                <c:pt idx="18">
                  <c:v>2.9997827692248239E-3</c:v>
                </c:pt>
                <c:pt idx="19">
                  <c:v>-3.38075503403418E-3</c:v>
                </c:pt>
                <c:pt idx="20">
                  <c:v>5.9753274530039598E-3</c:v>
                </c:pt>
                <c:pt idx="21">
                  <c:v>-6.1402427651123873E-3</c:v>
                </c:pt>
                <c:pt idx="22">
                  <c:v>-1.9849324133517556E-3</c:v>
                </c:pt>
                <c:pt idx="23">
                  <c:v>6.7337433824267703E-3</c:v>
                </c:pt>
                <c:pt idx="24">
                  <c:v>3.8045583224025075E-3</c:v>
                </c:pt>
                <c:pt idx="25">
                  <c:v>4.5062469687172464E-3</c:v>
                </c:pt>
                <c:pt idx="26">
                  <c:v>-4.2819670642197877E-3</c:v>
                </c:pt>
                <c:pt idx="27">
                  <c:v>-6.8645394205745745E-3</c:v>
                </c:pt>
                <c:pt idx="28">
                  <c:v>1.4815699803729563E-3</c:v>
                </c:pt>
                <c:pt idx="29">
                  <c:v>-2.8870297291488261E-3</c:v>
                </c:pt>
                <c:pt idx="30">
                  <c:v>6.1211601150753412E-3</c:v>
                </c:pt>
                <c:pt idx="31">
                  <c:v>-1.1630545166837199E-2</c:v>
                </c:pt>
                <c:pt idx="32">
                  <c:v>3.6005311493240511E-3</c:v>
                </c:pt>
                <c:pt idx="33">
                  <c:v>6.4307729488239534E-4</c:v>
                </c:pt>
                <c:pt idx="34">
                  <c:v>-5.5874692813876903E-3</c:v>
                </c:pt>
                <c:pt idx="35">
                  <c:v>-7.1968890071336987E-3</c:v>
                </c:pt>
                <c:pt idx="36">
                  <c:v>1.8957436470892074E-3</c:v>
                </c:pt>
                <c:pt idx="37">
                  <c:v>6.677400678132629E-3</c:v>
                </c:pt>
                <c:pt idx="38">
                  <c:v>1.4293534733303672E-4</c:v>
                </c:pt>
                <c:pt idx="39">
                  <c:v>1.0730474220334914E-3</c:v>
                </c:pt>
                <c:pt idx="40">
                  <c:v>-4.6657127418981313E-3</c:v>
                </c:pt>
                <c:pt idx="41">
                  <c:v>6.5607586327463821E-3</c:v>
                </c:pt>
                <c:pt idx="42">
                  <c:v>7.9363463365643566E-3</c:v>
                </c:pt>
                <c:pt idx="43">
                  <c:v>-5.3012789865783602E-3</c:v>
                </c:pt>
                <c:pt idx="44">
                  <c:v>5.9124191091209722E-4</c:v>
                </c:pt>
                <c:pt idx="45">
                  <c:v>6.1771660162479721E-3</c:v>
                </c:pt>
                <c:pt idx="46">
                  <c:v>3.8081311799628777E-3</c:v>
                </c:pt>
                <c:pt idx="47">
                  <c:v>6.3164179251646215E-3</c:v>
                </c:pt>
                <c:pt idx="48">
                  <c:v>9.4952386542281487E-3</c:v>
                </c:pt>
                <c:pt idx="49">
                  <c:v>-6.3039286374692322E-3</c:v>
                </c:pt>
                <c:pt idx="50">
                  <c:v>-2.6214445003938788E-3</c:v>
                </c:pt>
                <c:pt idx="51">
                  <c:v>1.4569696343203786E-3</c:v>
                </c:pt>
                <c:pt idx="52">
                  <c:v>6.7197954546073732E-3</c:v>
                </c:pt>
                <c:pt idx="53">
                  <c:v>-1.0346625982318879E-2</c:v>
                </c:pt>
                <c:pt idx="54">
                  <c:v>-1.9495409166492717E-3</c:v>
                </c:pt>
                <c:pt idx="55">
                  <c:v>2.6410304076576632E-3</c:v>
                </c:pt>
                <c:pt idx="56">
                  <c:v>-9.0929971459570956E-3</c:v>
                </c:pt>
                <c:pt idx="57">
                  <c:v>1.1847315348308339E-2</c:v>
                </c:pt>
                <c:pt idx="58">
                  <c:v>2.8261818712836317E-3</c:v>
                </c:pt>
                <c:pt idx="59">
                  <c:v>-1.0082042878230611E-2</c:v>
                </c:pt>
                <c:pt idx="60">
                  <c:v>1.1751021942929979E-2</c:v>
                </c:pt>
                <c:pt idx="61">
                  <c:v>9.7643937246575025E-4</c:v>
                </c:pt>
                <c:pt idx="62">
                  <c:v>-4.0000806496498318E-3</c:v>
                </c:pt>
                <c:pt idx="63">
                  <c:v>2.1735079665775713E-2</c:v>
                </c:pt>
                <c:pt idx="64">
                  <c:v>-4.0468191866332758E-3</c:v>
                </c:pt>
                <c:pt idx="65">
                  <c:v>1.8414924097912331E-4</c:v>
                </c:pt>
                <c:pt idx="66">
                  <c:v>-1.1659255544159121E-2</c:v>
                </c:pt>
                <c:pt idx="67">
                  <c:v>1.1617102144033475E-4</c:v>
                </c:pt>
                <c:pt idx="68">
                  <c:v>-1.5997082181893186E-3</c:v>
                </c:pt>
                <c:pt idx="69">
                  <c:v>1.2709221640765165E-2</c:v>
                </c:pt>
                <c:pt idx="70">
                  <c:v>-8.0534704790126768E-3</c:v>
                </c:pt>
                <c:pt idx="71">
                  <c:v>1.0237196821651862E-2</c:v>
                </c:pt>
                <c:pt idx="72">
                  <c:v>4.1973361559984584E-3</c:v>
                </c:pt>
                <c:pt idx="73">
                  <c:v>-3.2173420473911151E-3</c:v>
                </c:pt>
                <c:pt idx="74">
                  <c:v>-5.1306524012484506E-3</c:v>
                </c:pt>
                <c:pt idx="75">
                  <c:v>3.3297654504877566E-3</c:v>
                </c:pt>
                <c:pt idx="76">
                  <c:v>-6.4491598466813642E-3</c:v>
                </c:pt>
                <c:pt idx="77">
                  <c:v>-1.7974981202514993E-3</c:v>
                </c:pt>
                <c:pt idx="78">
                  <c:v>7.2901971346194736E-3</c:v>
                </c:pt>
                <c:pt idx="79">
                  <c:v>-3.297331796934885E-3</c:v>
                </c:pt>
                <c:pt idx="80">
                  <c:v>1.1204741650148819E-2</c:v>
                </c:pt>
                <c:pt idx="81">
                  <c:v>-2.0208494170213583E-3</c:v>
                </c:pt>
                <c:pt idx="82">
                  <c:v>-1.2794291558410407E-3</c:v>
                </c:pt>
                <c:pt idx="83">
                  <c:v>-1.3502792476549376E-2</c:v>
                </c:pt>
                <c:pt idx="84">
                  <c:v>-5.2774824441866146E-3</c:v>
                </c:pt>
                <c:pt idx="85">
                  <c:v>2.4152834333899336E-3</c:v>
                </c:pt>
                <c:pt idx="86">
                  <c:v>1.0898414509832194E-2</c:v>
                </c:pt>
                <c:pt idx="87">
                  <c:v>8.5745094998127113E-3</c:v>
                </c:pt>
                <c:pt idx="88">
                  <c:v>-3.9079214913657042E-3</c:v>
                </c:pt>
                <c:pt idx="89">
                  <c:v>3.9624760360984787E-3</c:v>
                </c:pt>
                <c:pt idx="90">
                  <c:v>-8.1644104094383742E-3</c:v>
                </c:pt>
                <c:pt idx="91">
                  <c:v>5.4984080914285572E-3</c:v>
                </c:pt>
                <c:pt idx="92">
                  <c:v>-8.9490296780225245E-5</c:v>
                </c:pt>
                <c:pt idx="93">
                  <c:v>4.269709575937238E-3</c:v>
                </c:pt>
                <c:pt idx="94">
                  <c:v>-2.2296781417128521E-3</c:v>
                </c:pt>
                <c:pt idx="95">
                  <c:v>4.3327100517850633E-3</c:v>
                </c:pt>
                <c:pt idx="96">
                  <c:v>4.6976156556645318E-3</c:v>
                </c:pt>
                <c:pt idx="97">
                  <c:v>1.1725995294161536E-3</c:v>
                </c:pt>
                <c:pt idx="98">
                  <c:v>6.8472883433609176E-4</c:v>
                </c:pt>
                <c:pt idx="99">
                  <c:v>-4.3659512842496419E-3</c:v>
                </c:pt>
                <c:pt idx="100">
                  <c:v>-5.0215602910294319E-3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E34-44D4-842E-2C2B4599F684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GBM!$K$45:$DG$45</c:f>
              <c:numCache>
                <c:formatCode>General</c:formatCode>
                <c:ptCount val="101"/>
                <c:pt idx="0">
                  <c:v>0</c:v>
                </c:pt>
                <c:pt idx="1">
                  <c:v>-1.260982613498691E-3</c:v>
                </c:pt>
                <c:pt idx="2">
                  <c:v>-1.5413205014446364E-3</c:v>
                </c:pt>
                <c:pt idx="3">
                  <c:v>-8.4801531062415319E-3</c:v>
                </c:pt>
                <c:pt idx="4">
                  <c:v>-3.9771958133998347E-3</c:v>
                </c:pt>
                <c:pt idx="5">
                  <c:v>4.2844648864635267E-3</c:v>
                </c:pt>
                <c:pt idx="6">
                  <c:v>4.6228421479426905E-3</c:v>
                </c:pt>
                <c:pt idx="7">
                  <c:v>1.5860938761494778E-2</c:v>
                </c:pt>
                <c:pt idx="8">
                  <c:v>-1.5097984378846488E-3</c:v>
                </c:pt>
                <c:pt idx="9">
                  <c:v>5.0575979116897155E-3</c:v>
                </c:pt>
                <c:pt idx="10">
                  <c:v>-5.2316635822075722E-3</c:v>
                </c:pt>
                <c:pt idx="11">
                  <c:v>1.1796285138037683E-3</c:v>
                </c:pt>
                <c:pt idx="12">
                  <c:v>-4.1296729283901143E-4</c:v>
                </c:pt>
                <c:pt idx="13">
                  <c:v>1.7473458830308574E-3</c:v>
                </c:pt>
                <c:pt idx="14">
                  <c:v>-8.7060514424590094E-5</c:v>
                </c:pt>
                <c:pt idx="15">
                  <c:v>-2.4657123386279387E-3</c:v>
                </c:pt>
                <c:pt idx="16">
                  <c:v>7.5837438711633736E-3</c:v>
                </c:pt>
                <c:pt idx="17">
                  <c:v>4.1175843346897661E-4</c:v>
                </c:pt>
                <c:pt idx="18">
                  <c:v>-2.338441271103909E-3</c:v>
                </c:pt>
                <c:pt idx="19">
                  <c:v>2.1298864040785815E-3</c:v>
                </c:pt>
                <c:pt idx="20">
                  <c:v>-2.6878529941562869E-3</c:v>
                </c:pt>
                <c:pt idx="21">
                  <c:v>-1.6353862152703419E-3</c:v>
                </c:pt>
                <c:pt idx="22">
                  <c:v>-5.865033559757267E-3</c:v>
                </c:pt>
                <c:pt idx="23">
                  <c:v>-6.4022896725901763E-4</c:v>
                </c:pt>
                <c:pt idx="24">
                  <c:v>1.3491619110476091E-3</c:v>
                </c:pt>
                <c:pt idx="25">
                  <c:v>-8.1933399333102876E-3</c:v>
                </c:pt>
                <c:pt idx="26">
                  <c:v>1.812457647086544E-3</c:v>
                </c:pt>
                <c:pt idx="27">
                  <c:v>1.8285182980044498E-4</c:v>
                </c:pt>
                <c:pt idx="28">
                  <c:v>-8.7344539019177574E-4</c:v>
                </c:pt>
                <c:pt idx="29">
                  <c:v>1.7503912981266898E-3</c:v>
                </c:pt>
                <c:pt idx="30">
                  <c:v>-1.1111244598225167E-2</c:v>
                </c:pt>
                <c:pt idx="31">
                  <c:v>1.3647317922721083E-3</c:v>
                </c:pt>
                <c:pt idx="32">
                  <c:v>-1.4054087481849439E-2</c:v>
                </c:pt>
                <c:pt idx="33">
                  <c:v>-1.4841085976185176E-2</c:v>
                </c:pt>
                <c:pt idx="34">
                  <c:v>1.1838335318209142E-2</c:v>
                </c:pt>
                <c:pt idx="35">
                  <c:v>-5.6916442700914996E-3</c:v>
                </c:pt>
                <c:pt idx="36">
                  <c:v>8.3703937796405104E-3</c:v>
                </c:pt>
                <c:pt idx="37">
                  <c:v>-9.9638413640303139E-3</c:v>
                </c:pt>
                <c:pt idx="38">
                  <c:v>-2.7675674250225175E-3</c:v>
                </c:pt>
                <c:pt idx="39">
                  <c:v>2.3405568384272713E-3</c:v>
                </c:pt>
                <c:pt idx="40">
                  <c:v>1.2276199661384328E-3</c:v>
                </c:pt>
                <c:pt idx="41">
                  <c:v>-9.6405760141358137E-3</c:v>
                </c:pt>
                <c:pt idx="42">
                  <c:v>-7.8119727022069223E-3</c:v>
                </c:pt>
                <c:pt idx="43">
                  <c:v>7.1277930605706721E-3</c:v>
                </c:pt>
                <c:pt idx="44">
                  <c:v>-9.8465216661642353E-3</c:v>
                </c:pt>
                <c:pt idx="45">
                  <c:v>5.1093462616470546E-3</c:v>
                </c:pt>
                <c:pt idx="46">
                  <c:v>8.7884925669716452E-3</c:v>
                </c:pt>
                <c:pt idx="47">
                  <c:v>-9.5923379560954036E-3</c:v>
                </c:pt>
                <c:pt idx="48">
                  <c:v>-1.7168008342288519E-3</c:v>
                </c:pt>
                <c:pt idx="49">
                  <c:v>-3.8623601056563743E-4</c:v>
                </c:pt>
                <c:pt idx="50">
                  <c:v>-4.8950498979568741E-3</c:v>
                </c:pt>
                <c:pt idx="51">
                  <c:v>6.6115766614944084E-4</c:v>
                </c:pt>
                <c:pt idx="52">
                  <c:v>-1.1204041214232508E-2</c:v>
                </c:pt>
                <c:pt idx="53">
                  <c:v>-6.2369837494783168E-3</c:v>
                </c:pt>
                <c:pt idx="54">
                  <c:v>1.8376037262894985E-3</c:v>
                </c:pt>
                <c:pt idx="55">
                  <c:v>-9.4742568142340278E-3</c:v>
                </c:pt>
                <c:pt idx="56">
                  <c:v>-1.1711964232840768E-2</c:v>
                </c:pt>
                <c:pt idx="57">
                  <c:v>4.4943916612804205E-3</c:v>
                </c:pt>
                <c:pt idx="58">
                  <c:v>-1.1380207860849735E-2</c:v>
                </c:pt>
                <c:pt idx="59">
                  <c:v>2.9138884125262544E-3</c:v>
                </c:pt>
                <c:pt idx="60">
                  <c:v>3.2227946478848766E-3</c:v>
                </c:pt>
                <c:pt idx="61">
                  <c:v>3.5435938701277874E-3</c:v>
                </c:pt>
                <c:pt idx="62">
                  <c:v>9.2930408636923505E-4</c:v>
                </c:pt>
                <c:pt idx="63">
                  <c:v>3.0050295449681593E-3</c:v>
                </c:pt>
                <c:pt idx="64">
                  <c:v>-2.6909722291152522E-3</c:v>
                </c:pt>
                <c:pt idx="65">
                  <c:v>1.5377634776778904E-3</c:v>
                </c:pt>
                <c:pt idx="66">
                  <c:v>9.786700894854802E-3</c:v>
                </c:pt>
                <c:pt idx="67">
                  <c:v>-1.8057205716157904E-2</c:v>
                </c:pt>
                <c:pt idx="68">
                  <c:v>-7.5910813476591388E-3</c:v>
                </c:pt>
                <c:pt idx="69">
                  <c:v>2.1315921888579634E-3</c:v>
                </c:pt>
                <c:pt idx="70">
                  <c:v>-5.6577805251750517E-4</c:v>
                </c:pt>
                <c:pt idx="71">
                  <c:v>4.5187507151242777E-3</c:v>
                </c:pt>
                <c:pt idx="72">
                  <c:v>6.1690330772454054E-3</c:v>
                </c:pt>
                <c:pt idx="73">
                  <c:v>1.6186701659539327E-3</c:v>
                </c:pt>
                <c:pt idx="74">
                  <c:v>-1.1612982128011077E-2</c:v>
                </c:pt>
                <c:pt idx="75">
                  <c:v>-4.268248794883433E-3</c:v>
                </c:pt>
                <c:pt idx="76">
                  <c:v>8.3698961790102111E-3</c:v>
                </c:pt>
                <c:pt idx="77">
                  <c:v>5.6924518379010518E-3</c:v>
                </c:pt>
                <c:pt idx="78">
                  <c:v>6.9074748964911937E-5</c:v>
                </c:pt>
                <c:pt idx="79">
                  <c:v>1.7928788964080927E-2</c:v>
                </c:pt>
                <c:pt idx="80">
                  <c:v>-1.8378237542457764E-4</c:v>
                </c:pt>
                <c:pt idx="81">
                  <c:v>1.4415858040561196E-3</c:v>
                </c:pt>
                <c:pt idx="82">
                  <c:v>-1.6411565906214365E-3</c:v>
                </c:pt>
                <c:pt idx="83">
                  <c:v>-3.5027866069781196E-3</c:v>
                </c:pt>
                <c:pt idx="84">
                  <c:v>5.2271919085755047E-3</c:v>
                </c:pt>
                <c:pt idx="85">
                  <c:v>-2.35289281388854E-3</c:v>
                </c:pt>
                <c:pt idx="86">
                  <c:v>-5.3918554033259725E-3</c:v>
                </c:pt>
                <c:pt idx="87">
                  <c:v>-5.0389953183543727E-4</c:v>
                </c:pt>
                <c:pt idx="88">
                  <c:v>-2.6753733787352914E-3</c:v>
                </c:pt>
                <c:pt idx="89">
                  <c:v>6.3363829735531051E-3</c:v>
                </c:pt>
                <c:pt idx="90">
                  <c:v>-1.8029691615916545E-3</c:v>
                </c:pt>
                <c:pt idx="91">
                  <c:v>-3.0961624149175413E-3</c:v>
                </c:pt>
                <c:pt idx="92">
                  <c:v>-3.1626243874863826E-3</c:v>
                </c:pt>
                <c:pt idx="93">
                  <c:v>3.8417952547381146E-3</c:v>
                </c:pt>
                <c:pt idx="94">
                  <c:v>1.7292932411050089E-5</c:v>
                </c:pt>
                <c:pt idx="95">
                  <c:v>8.0449873633256022E-3</c:v>
                </c:pt>
                <c:pt idx="96">
                  <c:v>1.3590317937837177E-2</c:v>
                </c:pt>
                <c:pt idx="97">
                  <c:v>-4.0580828595566517E-3</c:v>
                </c:pt>
                <c:pt idx="98">
                  <c:v>5.982403097831581E-4</c:v>
                </c:pt>
                <c:pt idx="99">
                  <c:v>-6.9320145914510333E-3</c:v>
                </c:pt>
                <c:pt idx="100">
                  <c:v>-1.9713500207116826E-3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E34-44D4-842E-2C2B4599F684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GBM!$K$46:$DG$46</c:f>
              <c:numCache>
                <c:formatCode>General</c:formatCode>
                <c:ptCount val="101"/>
                <c:pt idx="0">
                  <c:v>0</c:v>
                </c:pt>
                <c:pt idx="1">
                  <c:v>-3.9287990842304816E-5</c:v>
                </c:pt>
                <c:pt idx="2">
                  <c:v>5.5236034200378831E-3</c:v>
                </c:pt>
                <c:pt idx="3">
                  <c:v>-7.4154138936349172E-4</c:v>
                </c:pt>
                <c:pt idx="4">
                  <c:v>-1.004666789283022E-2</c:v>
                </c:pt>
                <c:pt idx="5">
                  <c:v>-1.2516138081558599E-3</c:v>
                </c:pt>
                <c:pt idx="6">
                  <c:v>1.699901019667088E-3</c:v>
                </c:pt>
                <c:pt idx="7">
                  <c:v>8.4216314631692483E-3</c:v>
                </c:pt>
                <c:pt idx="8">
                  <c:v>-6.2027301554545486E-4</c:v>
                </c:pt>
                <c:pt idx="9">
                  <c:v>9.6121911100238992E-4</c:v>
                </c:pt>
                <c:pt idx="10">
                  <c:v>6.9827914729757674E-3</c:v>
                </c:pt>
                <c:pt idx="11">
                  <c:v>-3.5779188120613199E-3</c:v>
                </c:pt>
                <c:pt idx="12">
                  <c:v>-7.162060317058614E-4</c:v>
                </c:pt>
                <c:pt idx="13">
                  <c:v>1.9189583802653755E-4</c:v>
                </c:pt>
                <c:pt idx="14">
                  <c:v>4.8066277961676245E-4</c:v>
                </c:pt>
                <c:pt idx="15">
                  <c:v>9.5650142715877889E-3</c:v>
                </c:pt>
                <c:pt idx="16">
                  <c:v>1.3519767046028764E-2</c:v>
                </c:pt>
                <c:pt idx="17">
                  <c:v>-7.0710859376565318E-3</c:v>
                </c:pt>
                <c:pt idx="18">
                  <c:v>-5.7892191142466251E-3</c:v>
                </c:pt>
                <c:pt idx="19">
                  <c:v>-1.3645181183089138E-3</c:v>
                </c:pt>
                <c:pt idx="20">
                  <c:v>3.8501725114559507E-3</c:v>
                </c:pt>
                <c:pt idx="21">
                  <c:v>2.8365080382099657E-3</c:v>
                </c:pt>
                <c:pt idx="22">
                  <c:v>1.3912174258469321E-3</c:v>
                </c:pt>
                <c:pt idx="23">
                  <c:v>1.0856527369666342E-2</c:v>
                </c:pt>
                <c:pt idx="24">
                  <c:v>-2.4646634307115911E-3</c:v>
                </c:pt>
                <c:pt idx="25">
                  <c:v>-3.3265760803355745E-3</c:v>
                </c:pt>
                <c:pt idx="26">
                  <c:v>-5.3796628953956295E-3</c:v>
                </c:pt>
                <c:pt idx="27">
                  <c:v>8.5850883079623685E-3</c:v>
                </c:pt>
                <c:pt idx="28">
                  <c:v>-1.7727058175866688E-3</c:v>
                </c:pt>
                <c:pt idx="29">
                  <c:v>-6.5009675417557937E-3</c:v>
                </c:pt>
                <c:pt idx="30">
                  <c:v>-1.2514133807768099E-2</c:v>
                </c:pt>
                <c:pt idx="31">
                  <c:v>8.2555319438617058E-3</c:v>
                </c:pt>
                <c:pt idx="32">
                  <c:v>-6.2645435264061062E-3</c:v>
                </c:pt>
                <c:pt idx="33">
                  <c:v>3.1199910630426266E-3</c:v>
                </c:pt>
                <c:pt idx="34">
                  <c:v>-1.4011620889677655E-2</c:v>
                </c:pt>
                <c:pt idx="35">
                  <c:v>1.140683902904752E-2</c:v>
                </c:pt>
                <c:pt idx="36">
                  <c:v>9.1706334491265841E-3</c:v>
                </c:pt>
                <c:pt idx="37">
                  <c:v>-1.4684147555312535E-2</c:v>
                </c:pt>
                <c:pt idx="38">
                  <c:v>3.4906657245009931E-3</c:v>
                </c:pt>
                <c:pt idx="39">
                  <c:v>2.6500737327491055E-3</c:v>
                </c:pt>
                <c:pt idx="40">
                  <c:v>-1.418193208978779E-2</c:v>
                </c:pt>
                <c:pt idx="41">
                  <c:v>7.183411015885606E-3</c:v>
                </c:pt>
                <c:pt idx="42">
                  <c:v>-1.506215366440596E-3</c:v>
                </c:pt>
                <c:pt idx="43">
                  <c:v>-1.4546946881242726E-2</c:v>
                </c:pt>
                <c:pt idx="44">
                  <c:v>-1.6793459554601167E-2</c:v>
                </c:pt>
                <c:pt idx="45">
                  <c:v>3.9590847116425468E-3</c:v>
                </c:pt>
                <c:pt idx="46">
                  <c:v>4.4969404659733515E-3</c:v>
                </c:pt>
                <c:pt idx="47">
                  <c:v>3.9050573511674675E-3</c:v>
                </c:pt>
                <c:pt idx="48">
                  <c:v>2.2203594193280214E-3</c:v>
                </c:pt>
                <c:pt idx="49">
                  <c:v>3.4259358349993845E-3</c:v>
                </c:pt>
                <c:pt idx="50">
                  <c:v>7.7426605058976963E-3</c:v>
                </c:pt>
                <c:pt idx="51">
                  <c:v>-4.424777055591393E-3</c:v>
                </c:pt>
                <c:pt idx="52">
                  <c:v>-7.3665929388974172E-4</c:v>
                </c:pt>
                <c:pt idx="53">
                  <c:v>-1.7278533633743126E-2</c:v>
                </c:pt>
                <c:pt idx="54">
                  <c:v>2.6016238047444898E-3</c:v>
                </c:pt>
                <c:pt idx="55">
                  <c:v>1.7676788704163269E-3</c:v>
                </c:pt>
                <c:pt idx="56">
                  <c:v>3.8271051775590754E-3</c:v>
                </c:pt>
                <c:pt idx="57">
                  <c:v>-2.0492574323185968E-3</c:v>
                </c:pt>
                <c:pt idx="58">
                  <c:v>-7.0799359273117524E-3</c:v>
                </c:pt>
                <c:pt idx="59">
                  <c:v>-2.8529236176876756E-3</c:v>
                </c:pt>
                <c:pt idx="60">
                  <c:v>-4.8211921466722119E-3</c:v>
                </c:pt>
                <c:pt idx="61">
                  <c:v>8.7964830957706248E-3</c:v>
                </c:pt>
                <c:pt idx="62">
                  <c:v>-5.7945047643827557E-3</c:v>
                </c:pt>
                <c:pt idx="63">
                  <c:v>-4.6369059821474911E-3</c:v>
                </c:pt>
                <c:pt idx="64">
                  <c:v>-7.720258414287362E-3</c:v>
                </c:pt>
                <c:pt idx="65">
                  <c:v>3.6295775031966693E-4</c:v>
                </c:pt>
                <c:pt idx="66">
                  <c:v>-3.7606036948275821E-3</c:v>
                </c:pt>
                <c:pt idx="67">
                  <c:v>-3.278952426875926E-4</c:v>
                </c:pt>
                <c:pt idx="68">
                  <c:v>-1.0118217671938183E-2</c:v>
                </c:pt>
                <c:pt idx="69">
                  <c:v>5.9817664824488512E-3</c:v>
                </c:pt>
                <c:pt idx="70">
                  <c:v>5.2487227264432284E-3</c:v>
                </c:pt>
                <c:pt idx="71">
                  <c:v>2.1365246725755203E-3</c:v>
                </c:pt>
                <c:pt idx="72">
                  <c:v>6.3410248120996824E-3</c:v>
                </c:pt>
                <c:pt idx="73">
                  <c:v>1.5687723586028971E-3</c:v>
                </c:pt>
                <c:pt idx="74">
                  <c:v>8.9610873528320374E-3</c:v>
                </c:pt>
                <c:pt idx="75">
                  <c:v>-6.6592889371757322E-3</c:v>
                </c:pt>
                <c:pt idx="76">
                  <c:v>-2.0950861499234191E-3</c:v>
                </c:pt>
                <c:pt idx="77">
                  <c:v>-1.1824194438802964E-2</c:v>
                </c:pt>
                <c:pt idx="78">
                  <c:v>-1.2764670776238461E-2</c:v>
                </c:pt>
                <c:pt idx="79">
                  <c:v>7.4795531396548709E-3</c:v>
                </c:pt>
                <c:pt idx="80">
                  <c:v>1.1182903088655209E-2</c:v>
                </c:pt>
                <c:pt idx="81">
                  <c:v>-2.9591969411268417E-3</c:v>
                </c:pt>
                <c:pt idx="82">
                  <c:v>1.0966619239504734E-2</c:v>
                </c:pt>
                <c:pt idx="83">
                  <c:v>5.362799861938411E-3</c:v>
                </c:pt>
                <c:pt idx="84">
                  <c:v>4.3200662797009716E-3</c:v>
                </c:pt>
                <c:pt idx="85">
                  <c:v>2.5243629215466925E-4</c:v>
                </c:pt>
                <c:pt idx="86">
                  <c:v>4.4169150923438257E-3</c:v>
                </c:pt>
                <c:pt idx="87">
                  <c:v>9.6788809518761343E-3</c:v>
                </c:pt>
                <c:pt idx="88">
                  <c:v>-2.0017178303348769E-3</c:v>
                </c:pt>
                <c:pt idx="89">
                  <c:v>-3.3560370983394417E-3</c:v>
                </c:pt>
                <c:pt idx="90">
                  <c:v>-7.5941163810936702E-3</c:v>
                </c:pt>
                <c:pt idx="91">
                  <c:v>-9.0167649848483869E-3</c:v>
                </c:pt>
                <c:pt idx="92">
                  <c:v>-4.3639991998777206E-3</c:v>
                </c:pt>
                <c:pt idx="93">
                  <c:v>-3.861044093633228E-3</c:v>
                </c:pt>
                <c:pt idx="94">
                  <c:v>1.6034524187190544E-3</c:v>
                </c:pt>
                <c:pt idx="95">
                  <c:v>5.6764534833099447E-3</c:v>
                </c:pt>
                <c:pt idx="96">
                  <c:v>-4.1468802192319264E-3</c:v>
                </c:pt>
                <c:pt idx="97">
                  <c:v>-6.5869297564564236E-3</c:v>
                </c:pt>
                <c:pt idx="98">
                  <c:v>2.6604087046097429E-3</c:v>
                </c:pt>
                <c:pt idx="99">
                  <c:v>-4.7389389603807851E-3</c:v>
                </c:pt>
                <c:pt idx="100">
                  <c:v>-9.3121685783711088E-3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E34-44D4-842E-2C2B4599F6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1677823"/>
        <c:axId val="1619006751"/>
      </c:lineChart>
      <c:catAx>
        <c:axId val="19316778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19006751"/>
        <c:crosses val="autoZero"/>
        <c:auto val="1"/>
        <c:lblAlgn val="ctr"/>
        <c:lblOffset val="100"/>
        <c:noMultiLvlLbl val="0"/>
      </c:catAx>
      <c:valAx>
        <c:axId val="161900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1677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GBM!$K$49:$DG$49</c:f>
              <c:numCache>
                <c:formatCode>General</c:formatCode>
                <c:ptCount val="101"/>
                <c:pt idx="0">
                  <c:v>333.01998901367188</c:v>
                </c:pt>
                <c:pt idx="1">
                  <c:v>334.77379779567963</c:v>
                </c:pt>
                <c:pt idx="2">
                  <c:v>335.10181579069638</c:v>
                </c:pt>
                <c:pt idx="3">
                  <c:v>334.48054956904184</c:v>
                </c:pt>
                <c:pt idx="4">
                  <c:v>331.86881060191359</c:v>
                </c:pt>
                <c:pt idx="5">
                  <c:v>329.80443514567565</c:v>
                </c:pt>
                <c:pt idx="6">
                  <c:v>329.97711627365857</c:v>
                </c:pt>
                <c:pt idx="7">
                  <c:v>331.10842475217095</c:v>
                </c:pt>
                <c:pt idx="8">
                  <c:v>329.28354198116881</c:v>
                </c:pt>
                <c:pt idx="9">
                  <c:v>328.44273748906414</c:v>
                </c:pt>
                <c:pt idx="10">
                  <c:v>326.08741320624807</c:v>
                </c:pt>
                <c:pt idx="11">
                  <c:v>325.70216156249995</c:v>
                </c:pt>
                <c:pt idx="12">
                  <c:v>323.00615921546319</c:v>
                </c:pt>
                <c:pt idx="13">
                  <c:v>319.38093209668756</c:v>
                </c:pt>
                <c:pt idx="14">
                  <c:v>321.22838002302194</c:v>
                </c:pt>
                <c:pt idx="15">
                  <c:v>328.02894719051801</c:v>
                </c:pt>
                <c:pt idx="16">
                  <c:v>327.16665535151134</c:v>
                </c:pt>
                <c:pt idx="17">
                  <c:v>326.08834826786637</c:v>
                </c:pt>
                <c:pt idx="18">
                  <c:v>328.11732035529218</c:v>
                </c:pt>
                <c:pt idx="19">
                  <c:v>332.82026524400027</c:v>
                </c:pt>
                <c:pt idx="20">
                  <c:v>332.7531926280426</c:v>
                </c:pt>
                <c:pt idx="21">
                  <c:v>334.46594256571393</c:v>
                </c:pt>
                <c:pt idx="22">
                  <c:v>335.64711513753616</c:v>
                </c:pt>
                <c:pt idx="23">
                  <c:v>334.57255873912629</c:v>
                </c:pt>
                <c:pt idx="24">
                  <c:v>334.03697572411687</c:v>
                </c:pt>
                <c:pt idx="25">
                  <c:v>337.180425997984</c:v>
                </c:pt>
                <c:pt idx="26">
                  <c:v>337.56735746555802</c:v>
                </c:pt>
                <c:pt idx="27">
                  <c:v>339.49980415718909</c:v>
                </c:pt>
                <c:pt idx="28">
                  <c:v>340.67651584714503</c:v>
                </c:pt>
                <c:pt idx="29">
                  <c:v>339.13129167295205</c:v>
                </c:pt>
                <c:pt idx="30">
                  <c:v>337.22689976778946</c:v>
                </c:pt>
                <c:pt idx="31">
                  <c:v>337.14705385742235</c:v>
                </c:pt>
                <c:pt idx="32">
                  <c:v>337.4751891612384</c:v>
                </c:pt>
                <c:pt idx="33">
                  <c:v>339.31523355795815</c:v>
                </c:pt>
                <c:pt idx="34">
                  <c:v>341.60665390926835</c:v>
                </c:pt>
                <c:pt idx="35">
                  <c:v>337.5933887408778</c:v>
                </c:pt>
                <c:pt idx="36">
                  <c:v>334.92689081349852</c:v>
                </c:pt>
                <c:pt idx="37">
                  <c:v>336.94298003378697</c:v>
                </c:pt>
                <c:pt idx="38">
                  <c:v>342.47301178688446</c:v>
                </c:pt>
                <c:pt idx="39">
                  <c:v>344.55118157224865</c:v>
                </c:pt>
                <c:pt idx="40">
                  <c:v>345.20914079911057</c:v>
                </c:pt>
                <c:pt idx="41">
                  <c:v>348.16794509978973</c:v>
                </c:pt>
                <c:pt idx="42">
                  <c:v>351.19253395439483</c:v>
                </c:pt>
                <c:pt idx="43">
                  <c:v>351.83136263376247</c:v>
                </c:pt>
                <c:pt idx="44">
                  <c:v>354.75833637494435</c:v>
                </c:pt>
                <c:pt idx="45">
                  <c:v>356.24407551565508</c:v>
                </c:pt>
                <c:pt idx="46">
                  <c:v>357.89849333659862</c:v>
                </c:pt>
                <c:pt idx="47">
                  <c:v>358.86650984465331</c:v>
                </c:pt>
                <c:pt idx="48">
                  <c:v>357.94703273163816</c:v>
                </c:pt>
                <c:pt idx="49">
                  <c:v>353.80718880465645</c:v>
                </c:pt>
                <c:pt idx="50">
                  <c:v>356.76810346241558</c:v>
                </c:pt>
                <c:pt idx="51">
                  <c:v>360.30143894003703</c:v>
                </c:pt>
                <c:pt idx="52">
                  <c:v>361.52608895230969</c:v>
                </c:pt>
                <c:pt idx="53">
                  <c:v>358.54400492760271</c:v>
                </c:pt>
                <c:pt idx="54">
                  <c:v>365.93744671562382</c:v>
                </c:pt>
                <c:pt idx="55">
                  <c:v>363.92164972342829</c:v>
                </c:pt>
                <c:pt idx="56">
                  <c:v>364.15891014532605</c:v>
                </c:pt>
                <c:pt idx="57">
                  <c:v>362.776279473079</c:v>
                </c:pt>
                <c:pt idx="58">
                  <c:v>365.55784611834684</c:v>
                </c:pt>
                <c:pt idx="59">
                  <c:v>365.413482529215</c:v>
                </c:pt>
                <c:pt idx="60">
                  <c:v>364.35757725507307</c:v>
                </c:pt>
                <c:pt idx="61">
                  <c:v>364.16933784678793</c:v>
                </c:pt>
                <c:pt idx="62">
                  <c:v>362.94368741124873</c:v>
                </c:pt>
                <c:pt idx="63">
                  <c:v>362.45911592080233</c:v>
                </c:pt>
                <c:pt idx="64">
                  <c:v>360.77946205680155</c:v>
                </c:pt>
                <c:pt idx="65">
                  <c:v>359.6201861378355</c:v>
                </c:pt>
                <c:pt idx="66">
                  <c:v>361.5265048825691</c:v>
                </c:pt>
                <c:pt idx="67">
                  <c:v>361.46844145056662</c:v>
                </c:pt>
                <c:pt idx="68">
                  <c:v>359.30286233265934</c:v>
                </c:pt>
                <c:pt idx="69">
                  <c:v>358.68834957206741</c:v>
                </c:pt>
                <c:pt idx="70">
                  <c:v>358.83891905531243</c:v>
                </c:pt>
                <c:pt idx="71">
                  <c:v>355.4944330563481</c:v>
                </c:pt>
                <c:pt idx="72">
                  <c:v>356.16968104515456</c:v>
                </c:pt>
                <c:pt idx="73">
                  <c:v>357.74793546678228</c:v>
                </c:pt>
                <c:pt idx="74">
                  <c:v>359.11691827929405</c:v>
                </c:pt>
                <c:pt idx="75">
                  <c:v>362.69337140312507</c:v>
                </c:pt>
                <c:pt idx="76">
                  <c:v>365.91326944645027</c:v>
                </c:pt>
                <c:pt idx="77">
                  <c:v>369.96223156356973</c:v>
                </c:pt>
                <c:pt idx="78">
                  <c:v>369.63894138798662</c:v>
                </c:pt>
                <c:pt idx="79">
                  <c:v>368.33521283700873</c:v>
                </c:pt>
                <c:pt idx="80">
                  <c:v>371.11698286686573</c:v>
                </c:pt>
                <c:pt idx="81">
                  <c:v>373.87775418461354</c:v>
                </c:pt>
                <c:pt idx="82">
                  <c:v>373.14759344072439</c:v>
                </c:pt>
                <c:pt idx="83">
                  <c:v>377.2700229743358</c:v>
                </c:pt>
                <c:pt idx="84">
                  <c:v>381.19863086109643</c:v>
                </c:pt>
                <c:pt idx="85">
                  <c:v>376.4161838594689</c:v>
                </c:pt>
                <c:pt idx="86">
                  <c:v>377.57403485256151</c:v>
                </c:pt>
                <c:pt idx="87">
                  <c:v>383.63402821795705</c:v>
                </c:pt>
                <c:pt idx="88">
                  <c:v>383.7746150553192</c:v>
                </c:pt>
                <c:pt idx="89">
                  <c:v>383.88359517563811</c:v>
                </c:pt>
                <c:pt idx="90">
                  <c:v>382.49407845291972</c:v>
                </c:pt>
                <c:pt idx="91">
                  <c:v>380.29270996372276</c:v>
                </c:pt>
                <c:pt idx="92">
                  <c:v>377.71657696542286</c:v>
                </c:pt>
                <c:pt idx="93">
                  <c:v>382.00314224512971</c:v>
                </c:pt>
                <c:pt idx="94">
                  <c:v>382.9469954797413</c:v>
                </c:pt>
                <c:pt idx="95">
                  <c:v>387.19512733640136</c:v>
                </c:pt>
                <c:pt idx="96">
                  <c:v>386.95320278918877</c:v>
                </c:pt>
                <c:pt idx="97">
                  <c:v>386.04503822673354</c:v>
                </c:pt>
                <c:pt idx="98">
                  <c:v>388.21590601454653</c:v>
                </c:pt>
                <c:pt idx="99">
                  <c:v>386.74541290196896</c:v>
                </c:pt>
                <c:pt idx="100">
                  <c:v>385.06737793753746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BB-4F3E-A6D9-FD08886701F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GBM!$K$50:$DG$50</c:f>
              <c:numCache>
                <c:formatCode>General</c:formatCode>
                <c:ptCount val="101"/>
                <c:pt idx="0">
                  <c:v>333.01998901367188</c:v>
                </c:pt>
                <c:pt idx="1">
                  <c:v>332.52500351585593</c:v>
                </c:pt>
                <c:pt idx="2">
                  <c:v>327.60240968150174</c:v>
                </c:pt>
                <c:pt idx="3">
                  <c:v>327.84614792291501</c:v>
                </c:pt>
                <c:pt idx="4">
                  <c:v>326.28428112223042</c:v>
                </c:pt>
                <c:pt idx="5">
                  <c:v>326.99204209617056</c:v>
                </c:pt>
                <c:pt idx="6">
                  <c:v>326.31137159233515</c:v>
                </c:pt>
                <c:pt idx="7">
                  <c:v>327.11516789924241</c:v>
                </c:pt>
                <c:pt idx="8">
                  <c:v>330.25609658020613</c:v>
                </c:pt>
                <c:pt idx="9">
                  <c:v>333.39696739093387</c:v>
                </c:pt>
                <c:pt idx="10">
                  <c:v>330.90325025886153</c:v>
                </c:pt>
                <c:pt idx="11">
                  <c:v>332.23071732279089</c:v>
                </c:pt>
                <c:pt idx="12">
                  <c:v>330.26292047475408</c:v>
                </c:pt>
                <c:pt idx="13">
                  <c:v>330.08821899502897</c:v>
                </c:pt>
                <c:pt idx="14">
                  <c:v>330.87268884869627</c:v>
                </c:pt>
                <c:pt idx="15">
                  <c:v>329.13371568912635</c:v>
                </c:pt>
                <c:pt idx="16">
                  <c:v>326.57090363024327</c:v>
                </c:pt>
                <c:pt idx="17">
                  <c:v>328.34442384490291</c:v>
                </c:pt>
                <c:pt idx="18">
                  <c:v>328.59035672858073</c:v>
                </c:pt>
                <c:pt idx="19">
                  <c:v>326.70398274361736</c:v>
                </c:pt>
                <c:pt idx="20">
                  <c:v>326.91657998530263</c:v>
                </c:pt>
                <c:pt idx="21">
                  <c:v>324.60294904386558</c:v>
                </c:pt>
                <c:pt idx="22">
                  <c:v>327.71477130778112</c:v>
                </c:pt>
                <c:pt idx="23">
                  <c:v>323.62822483643782</c:v>
                </c:pt>
                <c:pt idx="24">
                  <c:v>322.30874408228902</c:v>
                </c:pt>
                <c:pt idx="25">
                  <c:v>322.07297348390375</c:v>
                </c:pt>
                <c:pt idx="26">
                  <c:v>322.3072739074878</c:v>
                </c:pt>
                <c:pt idx="27">
                  <c:v>317.31202656624521</c:v>
                </c:pt>
                <c:pt idx="28">
                  <c:v>316.51060924338361</c:v>
                </c:pt>
                <c:pt idx="29">
                  <c:v>319.88933973017373</c:v>
                </c:pt>
                <c:pt idx="30">
                  <c:v>320.89431063290016</c:v>
                </c:pt>
                <c:pt idx="31">
                  <c:v>319.30016342585975</c:v>
                </c:pt>
                <c:pt idx="32">
                  <c:v>319.00677713584236</c:v>
                </c:pt>
                <c:pt idx="33">
                  <c:v>320.14350205364843</c:v>
                </c:pt>
                <c:pt idx="34">
                  <c:v>321.65115145452211</c:v>
                </c:pt>
                <c:pt idx="35">
                  <c:v>322.83969800910251</c:v>
                </c:pt>
                <c:pt idx="36">
                  <c:v>322.03078776972217</c:v>
                </c:pt>
                <c:pt idx="37">
                  <c:v>324.07532612409506</c:v>
                </c:pt>
                <c:pt idx="38">
                  <c:v>321.72077483823648</c:v>
                </c:pt>
                <c:pt idx="39">
                  <c:v>323.03806501086092</c:v>
                </c:pt>
                <c:pt idx="40">
                  <c:v>323.49380535956209</c:v>
                </c:pt>
                <c:pt idx="41">
                  <c:v>328.12473660447051</c:v>
                </c:pt>
                <c:pt idx="42">
                  <c:v>330.79973423763249</c:v>
                </c:pt>
                <c:pt idx="43">
                  <c:v>331.29347864171177</c:v>
                </c:pt>
                <c:pt idx="44">
                  <c:v>329.05661835174891</c:v>
                </c:pt>
                <c:pt idx="45">
                  <c:v>331.01252633507414</c:v>
                </c:pt>
                <c:pt idx="46">
                  <c:v>326.52193456237524</c:v>
                </c:pt>
                <c:pt idx="47">
                  <c:v>325.02523073499185</c:v>
                </c:pt>
                <c:pt idx="48">
                  <c:v>323.21993729584631</c:v>
                </c:pt>
                <c:pt idx="49">
                  <c:v>324.93188864059164</c:v>
                </c:pt>
                <c:pt idx="50">
                  <c:v>322.34056487958901</c:v>
                </c:pt>
                <c:pt idx="51">
                  <c:v>323.55086997104087</c:v>
                </c:pt>
                <c:pt idx="52">
                  <c:v>323.58462652230071</c:v>
                </c:pt>
                <c:pt idx="53">
                  <c:v>327.05578710927637</c:v>
                </c:pt>
                <c:pt idx="54">
                  <c:v>326.13632885977063</c:v>
                </c:pt>
                <c:pt idx="55">
                  <c:v>330.49399960611754</c:v>
                </c:pt>
                <c:pt idx="56">
                  <c:v>331.30113149659297</c:v>
                </c:pt>
                <c:pt idx="57">
                  <c:v>327.41638573408699</c:v>
                </c:pt>
                <c:pt idx="58">
                  <c:v>333.60402199110683</c:v>
                </c:pt>
                <c:pt idx="59">
                  <c:v>334.45168449317146</c:v>
                </c:pt>
                <c:pt idx="60">
                  <c:v>331.75538232416756</c:v>
                </c:pt>
                <c:pt idx="61">
                  <c:v>327.70791882968314</c:v>
                </c:pt>
                <c:pt idx="62">
                  <c:v>324.86448404904559</c:v>
                </c:pt>
                <c:pt idx="63">
                  <c:v>325.8286180852466</c:v>
                </c:pt>
                <c:pt idx="64">
                  <c:v>326.85065354745376</c:v>
                </c:pt>
                <c:pt idx="65">
                  <c:v>328.71123434337665</c:v>
                </c:pt>
                <c:pt idx="66">
                  <c:v>328.94024561519262</c:v>
                </c:pt>
                <c:pt idx="67">
                  <c:v>329.28123653126272</c:v>
                </c:pt>
                <c:pt idx="68">
                  <c:v>331.17002954791053</c:v>
                </c:pt>
                <c:pt idx="69">
                  <c:v>332.47090739400181</c:v>
                </c:pt>
                <c:pt idx="70">
                  <c:v>332.78816598484093</c:v>
                </c:pt>
                <c:pt idx="71">
                  <c:v>332.99679459953524</c:v>
                </c:pt>
                <c:pt idx="72">
                  <c:v>333.96905461923416</c:v>
                </c:pt>
                <c:pt idx="73">
                  <c:v>329.52319382028816</c:v>
                </c:pt>
                <c:pt idx="74">
                  <c:v>324.14335298275637</c:v>
                </c:pt>
                <c:pt idx="75">
                  <c:v>325.78431602657759</c:v>
                </c:pt>
                <c:pt idx="76">
                  <c:v>328.86530306937169</c:v>
                </c:pt>
                <c:pt idx="77">
                  <c:v>330.12491916848882</c:v>
                </c:pt>
                <c:pt idx="78">
                  <c:v>328.57188896004192</c:v>
                </c:pt>
                <c:pt idx="79">
                  <c:v>326.19546940479819</c:v>
                </c:pt>
                <c:pt idx="80">
                  <c:v>325.46563037036327</c:v>
                </c:pt>
                <c:pt idx="81">
                  <c:v>320.68791848778045</c:v>
                </c:pt>
                <c:pt idx="82">
                  <c:v>321.47698784310899</c:v>
                </c:pt>
                <c:pt idx="83">
                  <c:v>323.19814460694988</c:v>
                </c:pt>
                <c:pt idx="84">
                  <c:v>322.53825707854958</c:v>
                </c:pt>
                <c:pt idx="85">
                  <c:v>323.56819678243164</c:v>
                </c:pt>
                <c:pt idx="86">
                  <c:v>322.92921712826296</c:v>
                </c:pt>
                <c:pt idx="87">
                  <c:v>321.29747145489171</c:v>
                </c:pt>
                <c:pt idx="88">
                  <c:v>323.98763716212915</c:v>
                </c:pt>
                <c:pt idx="89">
                  <c:v>328.00986239897054</c:v>
                </c:pt>
                <c:pt idx="90">
                  <c:v>323.14909606332139</c:v>
                </c:pt>
                <c:pt idx="91">
                  <c:v>319.02675348319599</c:v>
                </c:pt>
                <c:pt idx="92">
                  <c:v>315.8950109313617</c:v>
                </c:pt>
                <c:pt idx="93">
                  <c:v>316.79279962587322</c:v>
                </c:pt>
                <c:pt idx="94">
                  <c:v>318.16683403859867</c:v>
                </c:pt>
                <c:pt idx="95">
                  <c:v>322.10189451851886</c:v>
                </c:pt>
                <c:pt idx="96">
                  <c:v>318.82598048986273</c:v>
                </c:pt>
                <c:pt idx="97">
                  <c:v>316.44186455016353</c:v>
                </c:pt>
                <c:pt idx="98">
                  <c:v>316.38751220499802</c:v>
                </c:pt>
                <c:pt idx="99">
                  <c:v>317.63831020472168</c:v>
                </c:pt>
                <c:pt idx="100">
                  <c:v>317.8743939007432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BB-4F3E-A6D9-FD08886701F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GBM!$K$51:$DG$51</c:f>
              <c:numCache>
                <c:formatCode>General</c:formatCode>
                <c:ptCount val="101"/>
                <c:pt idx="0">
                  <c:v>333.01998901367188</c:v>
                </c:pt>
                <c:pt idx="1">
                  <c:v>331.29865953227687</c:v>
                </c:pt>
                <c:pt idx="2">
                  <c:v>328.13063009089296</c:v>
                </c:pt>
                <c:pt idx="3">
                  <c:v>326.64600356328663</c:v>
                </c:pt>
                <c:pt idx="4">
                  <c:v>326.60642962552083</c:v>
                </c:pt>
                <c:pt idx="5">
                  <c:v>327.95180403949934</c:v>
                </c:pt>
                <c:pt idx="6">
                  <c:v>325.36561303582357</c:v>
                </c:pt>
                <c:pt idx="7">
                  <c:v>326.13296939986384</c:v>
                </c:pt>
                <c:pt idx="8">
                  <c:v>327.67929152496134</c:v>
                </c:pt>
                <c:pt idx="9">
                  <c:v>328.85114323757921</c:v>
                </c:pt>
                <c:pt idx="10">
                  <c:v>329.51748679350908</c:v>
                </c:pt>
                <c:pt idx="11">
                  <c:v>331.39141822136128</c:v>
                </c:pt>
                <c:pt idx="12">
                  <c:v>328.08658656188271</c:v>
                </c:pt>
                <c:pt idx="13">
                  <c:v>325.18731887557107</c:v>
                </c:pt>
                <c:pt idx="14">
                  <c:v>325.46747899274914</c:v>
                </c:pt>
                <c:pt idx="15">
                  <c:v>327.49152247720599</c:v>
                </c:pt>
                <c:pt idx="16">
                  <c:v>328.11789277476601</c:v>
                </c:pt>
                <c:pt idx="17">
                  <c:v>325.002912692748</c:v>
                </c:pt>
                <c:pt idx="18">
                  <c:v>323.74197086376358</c:v>
                </c:pt>
                <c:pt idx="19">
                  <c:v>320.96669031796108</c:v>
                </c:pt>
                <c:pt idx="20">
                  <c:v>320.92531262544935</c:v>
                </c:pt>
                <c:pt idx="21">
                  <c:v>320.26978810527339</c:v>
                </c:pt>
                <c:pt idx="22">
                  <c:v>317.41312174256723</c:v>
                </c:pt>
                <c:pt idx="23">
                  <c:v>318.37902303951057</c:v>
                </c:pt>
                <c:pt idx="24">
                  <c:v>319.91303497756752</c:v>
                </c:pt>
                <c:pt idx="25">
                  <c:v>320.85571695455462</c:v>
                </c:pt>
                <c:pt idx="26">
                  <c:v>320.06493136039802</c:v>
                </c:pt>
                <c:pt idx="27">
                  <c:v>322.17605078250352</c:v>
                </c:pt>
                <c:pt idx="28">
                  <c:v>323.39890782872135</c:v>
                </c:pt>
                <c:pt idx="29">
                  <c:v>325.60176277721689</c:v>
                </c:pt>
                <c:pt idx="30">
                  <c:v>323.83716191166792</c:v>
                </c:pt>
                <c:pt idx="31">
                  <c:v>325.40000930289597</c:v>
                </c:pt>
                <c:pt idx="32">
                  <c:v>324.13128251052132</c:v>
                </c:pt>
                <c:pt idx="33">
                  <c:v>324.29748168488317</c:v>
                </c:pt>
                <c:pt idx="34">
                  <c:v>324.70547790468009</c:v>
                </c:pt>
                <c:pt idx="35">
                  <c:v>325.12847914385691</c:v>
                </c:pt>
                <c:pt idx="36">
                  <c:v>324.1325357559827</c:v>
                </c:pt>
                <c:pt idx="37">
                  <c:v>322.33456398549464</c:v>
                </c:pt>
                <c:pt idx="38">
                  <c:v>321.13430501085219</c:v>
                </c:pt>
                <c:pt idx="39">
                  <c:v>318.54444457704523</c:v>
                </c:pt>
                <c:pt idx="40">
                  <c:v>317.44084641999814</c:v>
                </c:pt>
                <c:pt idx="41">
                  <c:v>317.32463646765933</c:v>
                </c:pt>
                <c:pt idx="42">
                  <c:v>318.95015430908262</c:v>
                </c:pt>
                <c:pt idx="43">
                  <c:v>321.81365367781649</c:v>
                </c:pt>
                <c:pt idx="44">
                  <c:v>324.03491009995651</c:v>
                </c:pt>
                <c:pt idx="45">
                  <c:v>322.75698817650931</c:v>
                </c:pt>
                <c:pt idx="46">
                  <c:v>327.44264397037369</c:v>
                </c:pt>
                <c:pt idx="47">
                  <c:v>324.19726589626947</c:v>
                </c:pt>
                <c:pt idx="48">
                  <c:v>325.84772745594159</c:v>
                </c:pt>
                <c:pt idx="49">
                  <c:v>329.05485284305854</c:v>
                </c:pt>
                <c:pt idx="50">
                  <c:v>329.67931107680306</c:v>
                </c:pt>
                <c:pt idx="51">
                  <c:v>327.05156699109523</c:v>
                </c:pt>
                <c:pt idx="52">
                  <c:v>330.33323898009695</c:v>
                </c:pt>
                <c:pt idx="53">
                  <c:v>333.54330951519484</c:v>
                </c:pt>
                <c:pt idx="54">
                  <c:v>331.71524438820273</c:v>
                </c:pt>
                <c:pt idx="55">
                  <c:v>330.36769627384371</c:v>
                </c:pt>
                <c:pt idx="56">
                  <c:v>328.56257322685155</c:v>
                </c:pt>
                <c:pt idx="57">
                  <c:v>326.8865980845531</c:v>
                </c:pt>
                <c:pt idx="58">
                  <c:v>327.97438610852549</c:v>
                </c:pt>
                <c:pt idx="59">
                  <c:v>326.54886256999521</c:v>
                </c:pt>
                <c:pt idx="60">
                  <c:v>325.75636010088618</c:v>
                </c:pt>
                <c:pt idx="61">
                  <c:v>325.01631551084449</c:v>
                </c:pt>
                <c:pt idx="62">
                  <c:v>321.99828249010505</c:v>
                </c:pt>
                <c:pt idx="63">
                  <c:v>320.52765703988877</c:v>
                </c:pt>
                <c:pt idx="64">
                  <c:v>315.23853854204549</c:v>
                </c:pt>
                <c:pt idx="65">
                  <c:v>314.70674918628174</c:v>
                </c:pt>
                <c:pt idx="66">
                  <c:v>315.11810385192973</c:v>
                </c:pt>
                <c:pt idx="67">
                  <c:v>317.45557026860723</c:v>
                </c:pt>
                <c:pt idx="68">
                  <c:v>316.96972505702803</c:v>
                </c:pt>
                <c:pt idx="69">
                  <c:v>316.11028663577491</c:v>
                </c:pt>
                <c:pt idx="70">
                  <c:v>315.12184946617293</c:v>
                </c:pt>
                <c:pt idx="71">
                  <c:v>315.63155492548395</c:v>
                </c:pt>
                <c:pt idx="72">
                  <c:v>317.05417072629115</c:v>
                </c:pt>
                <c:pt idx="73">
                  <c:v>315.79840791766617</c:v>
                </c:pt>
                <c:pt idx="74">
                  <c:v>315.62155323820673</c:v>
                </c:pt>
                <c:pt idx="75">
                  <c:v>314.78130561613756</c:v>
                </c:pt>
                <c:pt idx="76">
                  <c:v>316.68365969336901</c:v>
                </c:pt>
                <c:pt idx="77">
                  <c:v>314.99947958232542</c:v>
                </c:pt>
                <c:pt idx="78">
                  <c:v>315.24170800445978</c:v>
                </c:pt>
                <c:pt idx="79">
                  <c:v>313.92587352764787</c:v>
                </c:pt>
                <c:pt idx="80">
                  <c:v>317.24257617120497</c:v>
                </c:pt>
                <c:pt idx="81">
                  <c:v>317.13626727093941</c:v>
                </c:pt>
                <c:pt idx="82">
                  <c:v>314.1817421701287</c:v>
                </c:pt>
                <c:pt idx="83">
                  <c:v>311.43206245490904</c:v>
                </c:pt>
                <c:pt idx="84">
                  <c:v>311.43084711213407</c:v>
                </c:pt>
                <c:pt idx="85">
                  <c:v>310.18310387287215</c:v>
                </c:pt>
                <c:pt idx="86">
                  <c:v>312.60293397398573</c:v>
                </c:pt>
                <c:pt idx="87">
                  <c:v>312.27522036413058</c:v>
                </c:pt>
                <c:pt idx="88">
                  <c:v>314.83562490332451</c:v>
                </c:pt>
                <c:pt idx="89">
                  <c:v>311.45739484521414</c:v>
                </c:pt>
                <c:pt idx="90">
                  <c:v>312.95850513848347</c:v>
                </c:pt>
                <c:pt idx="91">
                  <c:v>312.6506178650065</c:v>
                </c:pt>
                <c:pt idx="92">
                  <c:v>314.02420447716247</c:v>
                </c:pt>
                <c:pt idx="93">
                  <c:v>314.63881075595737</c:v>
                </c:pt>
                <c:pt idx="94">
                  <c:v>313.27198307426767</c:v>
                </c:pt>
                <c:pt idx="95">
                  <c:v>313.46240574608402</c:v>
                </c:pt>
                <c:pt idx="96">
                  <c:v>316.24523892253848</c:v>
                </c:pt>
                <c:pt idx="97">
                  <c:v>314.60718340684582</c:v>
                </c:pt>
                <c:pt idx="98">
                  <c:v>313.37514251248416</c:v>
                </c:pt>
                <c:pt idx="99">
                  <c:v>311.0947909244365</c:v>
                </c:pt>
                <c:pt idx="100">
                  <c:v>309.52077140025955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BB-4F3E-A6D9-FD08886701F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GBM!$K$52:$DG$52</c:f>
              <c:numCache>
                <c:formatCode>General</c:formatCode>
                <c:ptCount val="101"/>
                <c:pt idx="0">
                  <c:v>333.01998901367188</c:v>
                </c:pt>
                <c:pt idx="1">
                  <c:v>332.68839836719661</c:v>
                </c:pt>
                <c:pt idx="2">
                  <c:v>328.38971928668838</c:v>
                </c:pt>
                <c:pt idx="3">
                  <c:v>330.1620307347917</c:v>
                </c:pt>
                <c:pt idx="4">
                  <c:v>329.94984377887045</c:v>
                </c:pt>
                <c:pt idx="5">
                  <c:v>328.52666857068016</c:v>
                </c:pt>
                <c:pt idx="6">
                  <c:v>329.4590424538751</c:v>
                </c:pt>
                <c:pt idx="7">
                  <c:v>329.51811329676661</c:v>
                </c:pt>
                <c:pt idx="8">
                  <c:v>328.2534243093238</c:v>
                </c:pt>
                <c:pt idx="9">
                  <c:v>330.43227393103092</c:v>
                </c:pt>
                <c:pt idx="10">
                  <c:v>330.22509888818024</c:v>
                </c:pt>
                <c:pt idx="11">
                  <c:v>332.38845078817263</c:v>
                </c:pt>
                <c:pt idx="12">
                  <c:v>335.70412449659545</c:v>
                </c:pt>
                <c:pt idx="13">
                  <c:v>334.75056422572698</c:v>
                </c:pt>
                <c:pt idx="14">
                  <c:v>334.17117050108919</c:v>
                </c:pt>
                <c:pt idx="15">
                  <c:v>337.55804386366339</c:v>
                </c:pt>
                <c:pt idx="16">
                  <c:v>336.86424331240329</c:v>
                </c:pt>
                <c:pt idx="17">
                  <c:v>339.08699631565474</c:v>
                </c:pt>
                <c:pt idx="18">
                  <c:v>338.36096603103437</c:v>
                </c:pt>
                <c:pt idx="19">
                  <c:v>337.08193213029716</c:v>
                </c:pt>
                <c:pt idx="20">
                  <c:v>336.11752284193813</c:v>
                </c:pt>
                <c:pt idx="21">
                  <c:v>339.10673699373069</c:v>
                </c:pt>
                <c:pt idx="22">
                  <c:v>337.27062889335929</c:v>
                </c:pt>
                <c:pt idx="23">
                  <c:v>334.71471619258318</c:v>
                </c:pt>
                <c:pt idx="24">
                  <c:v>336.42932005594292</c:v>
                </c:pt>
                <c:pt idx="25">
                  <c:v>336.87968394791494</c:v>
                </c:pt>
                <c:pt idx="26">
                  <c:v>336.55089900103434</c:v>
                </c:pt>
                <c:pt idx="27">
                  <c:v>333.02709088884677</c:v>
                </c:pt>
                <c:pt idx="28">
                  <c:v>334.36026436302211</c:v>
                </c:pt>
                <c:pt idx="29">
                  <c:v>335.59057189865348</c:v>
                </c:pt>
                <c:pt idx="30">
                  <c:v>337.03988338907368</c:v>
                </c:pt>
                <c:pt idx="31">
                  <c:v>342.74727956762001</c:v>
                </c:pt>
                <c:pt idx="32">
                  <c:v>341.217674644444</c:v>
                </c:pt>
                <c:pt idx="33">
                  <c:v>339.76596536368294</c:v>
                </c:pt>
                <c:pt idx="34">
                  <c:v>341.70622037340854</c:v>
                </c:pt>
                <c:pt idx="35">
                  <c:v>342.33097791719598</c:v>
                </c:pt>
                <c:pt idx="36">
                  <c:v>343.60262314684735</c:v>
                </c:pt>
                <c:pt idx="37">
                  <c:v>345.31393662158905</c:v>
                </c:pt>
                <c:pt idx="38">
                  <c:v>347.27883826171484</c:v>
                </c:pt>
                <c:pt idx="39">
                  <c:v>347.89522308288645</c:v>
                </c:pt>
                <c:pt idx="40">
                  <c:v>348.10741320366242</c:v>
                </c:pt>
                <c:pt idx="41">
                  <c:v>342.50587161364064</c:v>
                </c:pt>
                <c:pt idx="42">
                  <c:v>342.42007816804482</c:v>
                </c:pt>
                <c:pt idx="43">
                  <c:v>342.51391361580846</c:v>
                </c:pt>
                <c:pt idx="44">
                  <c:v>339.29616723722097</c:v>
                </c:pt>
                <c:pt idx="45">
                  <c:v>341.32753764908415</c:v>
                </c:pt>
                <c:pt idx="46">
                  <c:v>344.82032152731284</c:v>
                </c:pt>
                <c:pt idx="47">
                  <c:v>344.65225903883879</c:v>
                </c:pt>
                <c:pt idx="48">
                  <c:v>347.62984275444677</c:v>
                </c:pt>
                <c:pt idx="49">
                  <c:v>348.29731428366097</c:v>
                </c:pt>
                <c:pt idx="50">
                  <c:v>348.75951795051225</c:v>
                </c:pt>
                <c:pt idx="51">
                  <c:v>347.69055307303125</c:v>
                </c:pt>
                <c:pt idx="52">
                  <c:v>346.85853177652046</c:v>
                </c:pt>
                <c:pt idx="53">
                  <c:v>346.59879215412781</c:v>
                </c:pt>
                <c:pt idx="54">
                  <c:v>347.9988999661187</c:v>
                </c:pt>
                <c:pt idx="55">
                  <c:v>345.69707678814177</c:v>
                </c:pt>
                <c:pt idx="56">
                  <c:v>347.5475827969417</c:v>
                </c:pt>
                <c:pt idx="57">
                  <c:v>340.94827909719254</c:v>
                </c:pt>
                <c:pt idx="58">
                  <c:v>340.52973708120379</c:v>
                </c:pt>
                <c:pt idx="59">
                  <c:v>344.48839119036165</c:v>
                </c:pt>
                <c:pt idx="60">
                  <c:v>346.270401285964</c:v>
                </c:pt>
                <c:pt idx="61">
                  <c:v>347.92710241209079</c:v>
                </c:pt>
                <c:pt idx="62">
                  <c:v>351.379897172575</c:v>
                </c:pt>
                <c:pt idx="63">
                  <c:v>350.76196046860088</c:v>
                </c:pt>
                <c:pt idx="64">
                  <c:v>351.3718599873456</c:v>
                </c:pt>
                <c:pt idx="65">
                  <c:v>349.09788639664214</c:v>
                </c:pt>
                <c:pt idx="66">
                  <c:v>352.11372401970931</c:v>
                </c:pt>
                <c:pt idx="67">
                  <c:v>350.93970806222984</c:v>
                </c:pt>
                <c:pt idx="68">
                  <c:v>353.84281102386069</c:v>
                </c:pt>
                <c:pt idx="69">
                  <c:v>356.12765351800732</c:v>
                </c:pt>
                <c:pt idx="70">
                  <c:v>354.65290398438935</c:v>
                </c:pt>
                <c:pt idx="71">
                  <c:v>353.78901133103841</c:v>
                </c:pt>
                <c:pt idx="72">
                  <c:v>350.91962784137127</c:v>
                </c:pt>
                <c:pt idx="73">
                  <c:v>351.2842691566932</c:v>
                </c:pt>
                <c:pt idx="74">
                  <c:v>353.68850262567901</c:v>
                </c:pt>
                <c:pt idx="75">
                  <c:v>351.3404750122661</c:v>
                </c:pt>
                <c:pt idx="76">
                  <c:v>355.89497921663479</c:v>
                </c:pt>
                <c:pt idx="77">
                  <c:v>358.99654956916419</c:v>
                </c:pt>
                <c:pt idx="78">
                  <c:v>357.2917844084713</c:v>
                </c:pt>
                <c:pt idx="79">
                  <c:v>356.36818559526535</c:v>
                </c:pt>
                <c:pt idx="80">
                  <c:v>356.42445601303217</c:v>
                </c:pt>
                <c:pt idx="81">
                  <c:v>354.75293780506456</c:v>
                </c:pt>
                <c:pt idx="82">
                  <c:v>352.88841620709803</c:v>
                </c:pt>
                <c:pt idx="83">
                  <c:v>352.5136064396886</c:v>
                </c:pt>
                <c:pt idx="84">
                  <c:v>355.35699751152339</c:v>
                </c:pt>
                <c:pt idx="85">
                  <c:v>355.92170414658943</c:v>
                </c:pt>
                <c:pt idx="86">
                  <c:v>359.45960305458698</c:v>
                </c:pt>
                <c:pt idx="87">
                  <c:v>359.76336253561021</c:v>
                </c:pt>
                <c:pt idx="88">
                  <c:v>358.94665459571496</c:v>
                </c:pt>
                <c:pt idx="89">
                  <c:v>359.377671721311</c:v>
                </c:pt>
                <c:pt idx="90">
                  <c:v>359.68419372034452</c:v>
                </c:pt>
                <c:pt idx="91">
                  <c:v>359.32918535589749</c:v>
                </c:pt>
                <c:pt idx="92">
                  <c:v>360.29221184364792</c:v>
                </c:pt>
                <c:pt idx="93">
                  <c:v>356.82053810778223</c:v>
                </c:pt>
                <c:pt idx="94">
                  <c:v>354.28894741896124</c:v>
                </c:pt>
                <c:pt idx="95">
                  <c:v>355.92937109920592</c:v>
                </c:pt>
                <c:pt idx="96">
                  <c:v>355.39794424022494</c:v>
                </c:pt>
                <c:pt idx="97">
                  <c:v>354.37232111891291</c:v>
                </c:pt>
                <c:pt idx="98">
                  <c:v>356.3746519962537</c:v>
                </c:pt>
                <c:pt idx="99">
                  <c:v>357.51495146869263</c:v>
                </c:pt>
                <c:pt idx="100">
                  <c:v>354.61051460279151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BB-4F3E-A6D9-FD08886701FD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GBM!$K$53:$DG$53</c:f>
              <c:numCache>
                <c:formatCode>General</c:formatCode>
                <c:ptCount val="101"/>
                <c:pt idx="0">
                  <c:v>333.01998901367188</c:v>
                </c:pt>
                <c:pt idx="1">
                  <c:v>334.10977652450379</c:v>
                </c:pt>
                <c:pt idx="2">
                  <c:v>331.63737419374507</c:v>
                </c:pt>
                <c:pt idx="3">
                  <c:v>333.97622376816918</c:v>
                </c:pt>
                <c:pt idx="4">
                  <c:v>333.06894118410298</c:v>
                </c:pt>
                <c:pt idx="5">
                  <c:v>333.05132859629282</c:v>
                </c:pt>
                <c:pt idx="6">
                  <c:v>332.76013928007347</c:v>
                </c:pt>
                <c:pt idx="7">
                  <c:v>330.84682081650044</c:v>
                </c:pt>
                <c:pt idx="8">
                  <c:v>334.56943863131346</c:v>
                </c:pt>
                <c:pt idx="9">
                  <c:v>333.48872545473768</c:v>
                </c:pt>
                <c:pt idx="10">
                  <c:v>329.40032741100799</c:v>
                </c:pt>
                <c:pt idx="11">
                  <c:v>326.56060264283752</c:v>
                </c:pt>
                <c:pt idx="12">
                  <c:v>325.95008560793076</c:v>
                </c:pt>
                <c:pt idx="13">
                  <c:v>325.63597154512649</c:v>
                </c:pt>
                <c:pt idx="14">
                  <c:v>323.18164098667364</c:v>
                </c:pt>
                <c:pt idx="15">
                  <c:v>323.09547218759752</c:v>
                </c:pt>
                <c:pt idx="16">
                  <c:v>321.87093942964918</c:v>
                </c:pt>
                <c:pt idx="17">
                  <c:v>320.47209000669631</c:v>
                </c:pt>
                <c:pt idx="18">
                  <c:v>321.59109439252939</c:v>
                </c:pt>
                <c:pt idx="19">
                  <c:v>324.85825318550297</c:v>
                </c:pt>
                <c:pt idx="20">
                  <c:v>324.98634090056049</c:v>
                </c:pt>
                <c:pt idx="21">
                  <c:v>324.41376200839545</c:v>
                </c:pt>
                <c:pt idx="22">
                  <c:v>325.29311414370488</c:v>
                </c:pt>
                <c:pt idx="23">
                  <c:v>329.23158715127948</c:v>
                </c:pt>
                <c:pt idx="24">
                  <c:v>331.51391579655376</c:v>
                </c:pt>
                <c:pt idx="25">
                  <c:v>333.68836607778303</c:v>
                </c:pt>
                <c:pt idx="26">
                  <c:v>340.04183630565683</c:v>
                </c:pt>
                <c:pt idx="27">
                  <c:v>338.61443001996963</c:v>
                </c:pt>
                <c:pt idx="28">
                  <c:v>335.67974675998425</c:v>
                </c:pt>
                <c:pt idx="29">
                  <c:v>334.62747136462622</c:v>
                </c:pt>
                <c:pt idx="30">
                  <c:v>333.25710237194284</c:v>
                </c:pt>
                <c:pt idx="31">
                  <c:v>336.42913599531585</c:v>
                </c:pt>
                <c:pt idx="32">
                  <c:v>335.23277121726073</c:v>
                </c:pt>
                <c:pt idx="33">
                  <c:v>335.52075488630686</c:v>
                </c:pt>
                <c:pt idx="34">
                  <c:v>339.8023792446059</c:v>
                </c:pt>
                <c:pt idx="35">
                  <c:v>339.8295765181295</c:v>
                </c:pt>
                <c:pt idx="36">
                  <c:v>340.21838479475906</c:v>
                </c:pt>
                <c:pt idx="37">
                  <c:v>338.98340338470325</c:v>
                </c:pt>
                <c:pt idx="38">
                  <c:v>338.07830779250759</c:v>
                </c:pt>
                <c:pt idx="39">
                  <c:v>340.0572176885816</c:v>
                </c:pt>
                <c:pt idx="40">
                  <c:v>339.99719210892692</c:v>
                </c:pt>
                <c:pt idx="41">
                  <c:v>342.82606719134111</c:v>
                </c:pt>
                <c:pt idx="42">
                  <c:v>342.17531422940232</c:v>
                </c:pt>
                <c:pt idx="43">
                  <c:v>344.81149085926353</c:v>
                </c:pt>
                <c:pt idx="44">
                  <c:v>344.75693592302355</c:v>
                </c:pt>
                <c:pt idx="45">
                  <c:v>343.0620002640415</c:v>
                </c:pt>
                <c:pt idx="46">
                  <c:v>342.79825254812914</c:v>
                </c:pt>
                <c:pt idx="47">
                  <c:v>344.24253725103438</c:v>
                </c:pt>
                <c:pt idx="48">
                  <c:v>346.7116342801325</c:v>
                </c:pt>
                <c:pt idx="49">
                  <c:v>344.80358447341661</c:v>
                </c:pt>
                <c:pt idx="50">
                  <c:v>344.61292858561598</c:v>
                </c:pt>
                <c:pt idx="51">
                  <c:v>340.23344247405606</c:v>
                </c:pt>
                <c:pt idx="52">
                  <c:v>340.46162747057468</c:v>
                </c:pt>
                <c:pt idx="53">
                  <c:v>342.03279511386478</c:v>
                </c:pt>
                <c:pt idx="54">
                  <c:v>340.02074047757282</c:v>
                </c:pt>
                <c:pt idx="55">
                  <c:v>337.35049481434254</c:v>
                </c:pt>
                <c:pt idx="56">
                  <c:v>336.94025107189179</c:v>
                </c:pt>
                <c:pt idx="57">
                  <c:v>339.25244383622623</c:v>
                </c:pt>
                <c:pt idx="58">
                  <c:v>342.84683670505638</c:v>
                </c:pt>
                <c:pt idx="59">
                  <c:v>342.17773989744461</c:v>
                </c:pt>
                <c:pt idx="60">
                  <c:v>347.63695919204463</c:v>
                </c:pt>
                <c:pt idx="61">
                  <c:v>349.34884297369746</c:v>
                </c:pt>
                <c:pt idx="62">
                  <c:v>352.04130029537026</c:v>
                </c:pt>
                <c:pt idx="63">
                  <c:v>353.98447226225858</c:v>
                </c:pt>
                <c:pt idx="64">
                  <c:v>358.78454966410914</c:v>
                </c:pt>
                <c:pt idx="65">
                  <c:v>356.19515143903732</c:v>
                </c:pt>
                <c:pt idx="66">
                  <c:v>355.63743269274681</c:v>
                </c:pt>
                <c:pt idx="67">
                  <c:v>350.6935000841051</c:v>
                </c:pt>
                <c:pt idx="68">
                  <c:v>352.55487339196651</c:v>
                </c:pt>
                <c:pt idx="69">
                  <c:v>349.94760631859316</c:v>
                </c:pt>
                <c:pt idx="70">
                  <c:v>345.85207596750428</c:v>
                </c:pt>
                <c:pt idx="71">
                  <c:v>344.73813344975872</c:v>
                </c:pt>
                <c:pt idx="72">
                  <c:v>342.58894356524382</c:v>
                </c:pt>
                <c:pt idx="73">
                  <c:v>340.48615663675105</c:v>
                </c:pt>
                <c:pt idx="74">
                  <c:v>340.51565373598464</c:v>
                </c:pt>
                <c:pt idx="75">
                  <c:v>342.25758347698405</c:v>
                </c:pt>
                <c:pt idx="76">
                  <c:v>338.23985370881763</c:v>
                </c:pt>
                <c:pt idx="77">
                  <c:v>338.45007258267361</c:v>
                </c:pt>
                <c:pt idx="78">
                  <c:v>339.0699395152609</c:v>
                </c:pt>
                <c:pt idx="79">
                  <c:v>339.5054851339973</c:v>
                </c:pt>
                <c:pt idx="80">
                  <c:v>334.5074249860682</c:v>
                </c:pt>
                <c:pt idx="81">
                  <c:v>332.5575759352194</c:v>
                </c:pt>
                <c:pt idx="82">
                  <c:v>334.69471004195088</c:v>
                </c:pt>
                <c:pt idx="83">
                  <c:v>332.12774373784958</c:v>
                </c:pt>
                <c:pt idx="84">
                  <c:v>334.45626857465157</c:v>
                </c:pt>
                <c:pt idx="85">
                  <c:v>331.32161076782415</c:v>
                </c:pt>
                <c:pt idx="86">
                  <c:v>334.46649060790531</c:v>
                </c:pt>
                <c:pt idx="87">
                  <c:v>332.91639129972293</c:v>
                </c:pt>
                <c:pt idx="88">
                  <c:v>334.77227311414782</c:v>
                </c:pt>
                <c:pt idx="89">
                  <c:v>335.37968731770729</c:v>
                </c:pt>
                <c:pt idx="90">
                  <c:v>334.61268546861942</c:v>
                </c:pt>
                <c:pt idx="91">
                  <c:v>335.04854343048771</c:v>
                </c:pt>
                <c:pt idx="92">
                  <c:v>335.71262185800907</c:v>
                </c:pt>
                <c:pt idx="93">
                  <c:v>337.10776556069209</c:v>
                </c:pt>
                <c:pt idx="94">
                  <c:v>339.82596010325557</c:v>
                </c:pt>
                <c:pt idx="95">
                  <c:v>335.35946327269016</c:v>
                </c:pt>
                <c:pt idx="96">
                  <c:v>335.7952723294747</c:v>
                </c:pt>
                <c:pt idx="97">
                  <c:v>330.84803638485522</c:v>
                </c:pt>
                <c:pt idx="98">
                  <c:v>330.45617159236798</c:v>
                </c:pt>
                <c:pt idx="99">
                  <c:v>335.32662384098649</c:v>
                </c:pt>
                <c:pt idx="100">
                  <c:v>336.80118933197144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0BB-4F3E-A6D9-FD08886701FD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GBM!$K$54:$DG$54</c:f>
              <c:numCache>
                <c:formatCode>General</c:formatCode>
                <c:ptCount val="101"/>
                <c:pt idx="0">
                  <c:v>333.01998901367188</c:v>
                </c:pt>
                <c:pt idx="1">
                  <c:v>332.35929204383467</c:v>
                </c:pt>
                <c:pt idx="2">
                  <c:v>337.04611971059154</c:v>
                </c:pt>
                <c:pt idx="3">
                  <c:v>338.68622008545219</c:v>
                </c:pt>
                <c:pt idx="4">
                  <c:v>340.34839268161454</c:v>
                </c:pt>
                <c:pt idx="5">
                  <c:v>339.69391427106166</c:v>
                </c:pt>
                <c:pt idx="6">
                  <c:v>336.7105606066666</c:v>
                </c:pt>
                <c:pt idx="7">
                  <c:v>335.79496569269895</c:v>
                </c:pt>
                <c:pt idx="8">
                  <c:v>334.72827847682061</c:v>
                </c:pt>
                <c:pt idx="9">
                  <c:v>333.41973668804343</c:v>
                </c:pt>
                <c:pt idx="10">
                  <c:v>334.90846879525725</c:v>
                </c:pt>
                <c:pt idx="11">
                  <c:v>333.3321702406144</c:v>
                </c:pt>
                <c:pt idx="12">
                  <c:v>331.58452889820262</c:v>
                </c:pt>
                <c:pt idx="13">
                  <c:v>333.75521372701235</c:v>
                </c:pt>
                <c:pt idx="14">
                  <c:v>338.27781635649097</c:v>
                </c:pt>
                <c:pt idx="15">
                  <c:v>339.64224210492074</c:v>
                </c:pt>
                <c:pt idx="16">
                  <c:v>342.30760582091023</c:v>
                </c:pt>
                <c:pt idx="17">
                  <c:v>341.61699569349918</c:v>
                </c:pt>
                <c:pt idx="18">
                  <c:v>344.74563307569417</c:v>
                </c:pt>
                <c:pt idx="19">
                  <c:v>350.08812905474394</c:v>
                </c:pt>
                <c:pt idx="20">
                  <c:v>355.15104120709833</c:v>
                </c:pt>
                <c:pt idx="21">
                  <c:v>356.77300484723935</c:v>
                </c:pt>
                <c:pt idx="22">
                  <c:v>360.81118873014543</c:v>
                </c:pt>
                <c:pt idx="23">
                  <c:v>364.49075727237482</c:v>
                </c:pt>
                <c:pt idx="24">
                  <c:v>370.40732245424459</c:v>
                </c:pt>
                <c:pt idx="25">
                  <c:v>372.974611630921</c:v>
                </c:pt>
                <c:pt idx="26">
                  <c:v>372.98039040862972</c:v>
                </c:pt>
                <c:pt idx="27">
                  <c:v>369.63853043087857</c:v>
                </c:pt>
                <c:pt idx="28">
                  <c:v>366.77561081227827</c:v>
                </c:pt>
                <c:pt idx="29">
                  <c:v>368.15312820096557</c:v>
                </c:pt>
                <c:pt idx="30">
                  <c:v>367.08360403283564</c:v>
                </c:pt>
                <c:pt idx="31">
                  <c:v>365.39066693759753</c:v>
                </c:pt>
                <c:pt idx="32">
                  <c:v>362.57572360480231</c:v>
                </c:pt>
                <c:pt idx="33">
                  <c:v>363.46048645851391</c:v>
                </c:pt>
                <c:pt idx="34">
                  <c:v>359.47380944728644</c:v>
                </c:pt>
                <c:pt idx="35">
                  <c:v>360.92886474301247</c:v>
                </c:pt>
                <c:pt idx="36">
                  <c:v>360.60929714708726</c:v>
                </c:pt>
                <c:pt idx="37">
                  <c:v>358.40202133589867</c:v>
                </c:pt>
                <c:pt idx="38">
                  <c:v>358.59846195652682</c:v>
                </c:pt>
                <c:pt idx="39">
                  <c:v>356.30783086560984</c:v>
                </c:pt>
                <c:pt idx="40">
                  <c:v>359.80399106964938</c:v>
                </c:pt>
                <c:pt idx="41">
                  <c:v>360.75516547979424</c:v>
                </c:pt>
                <c:pt idx="42">
                  <c:v>360.10235458833438</c:v>
                </c:pt>
                <c:pt idx="43">
                  <c:v>360.85533616082807</c:v>
                </c:pt>
                <c:pt idx="44">
                  <c:v>359.38508022782656</c:v>
                </c:pt>
                <c:pt idx="45">
                  <c:v>356.7496778371804</c:v>
                </c:pt>
                <c:pt idx="46">
                  <c:v>358.15354685252026</c:v>
                </c:pt>
                <c:pt idx="47">
                  <c:v>359.50430402048107</c:v>
                </c:pt>
                <c:pt idx="48">
                  <c:v>359.54022835821632</c:v>
                </c:pt>
                <c:pt idx="49">
                  <c:v>359.99476461017565</c:v>
                </c:pt>
                <c:pt idx="50">
                  <c:v>361.91466527544554</c:v>
                </c:pt>
                <c:pt idx="51">
                  <c:v>361.60040276116388</c:v>
                </c:pt>
                <c:pt idx="52">
                  <c:v>364.74005971218855</c:v>
                </c:pt>
                <c:pt idx="53">
                  <c:v>364.96468688791657</c:v>
                </c:pt>
                <c:pt idx="54">
                  <c:v>366.87622813248782</c:v>
                </c:pt>
                <c:pt idx="55">
                  <c:v>369.07210077751023</c:v>
                </c:pt>
                <c:pt idx="56">
                  <c:v>369.36772341877617</c:v>
                </c:pt>
                <c:pt idx="57">
                  <c:v>365.88984182884536</c:v>
                </c:pt>
                <c:pt idx="58">
                  <c:v>368.444678006836</c:v>
                </c:pt>
                <c:pt idx="59">
                  <c:v>365.84796804214898</c:v>
                </c:pt>
                <c:pt idx="60">
                  <c:v>367.24756163147828</c:v>
                </c:pt>
                <c:pt idx="61">
                  <c:v>370.88809042589639</c:v>
                </c:pt>
                <c:pt idx="62">
                  <c:v>369.31675414949228</c:v>
                </c:pt>
                <c:pt idx="63">
                  <c:v>367.4894045687638</c:v>
                </c:pt>
                <c:pt idx="64">
                  <c:v>364.14313081633128</c:v>
                </c:pt>
                <c:pt idx="65">
                  <c:v>365.73846028366376</c:v>
                </c:pt>
                <c:pt idx="66">
                  <c:v>366.33088565876534</c:v>
                </c:pt>
                <c:pt idx="67">
                  <c:v>363.15408131894657</c:v>
                </c:pt>
                <c:pt idx="68">
                  <c:v>361.13684222593082</c:v>
                </c:pt>
                <c:pt idx="69">
                  <c:v>362.77100259835316</c:v>
                </c:pt>
                <c:pt idx="70">
                  <c:v>366.97898234665837</c:v>
                </c:pt>
                <c:pt idx="71">
                  <c:v>367.47708266914276</c:v>
                </c:pt>
                <c:pt idx="72">
                  <c:v>365.89888982235942</c:v>
                </c:pt>
                <c:pt idx="73">
                  <c:v>369.80271282643167</c:v>
                </c:pt>
                <c:pt idx="74">
                  <c:v>365.53238722470877</c:v>
                </c:pt>
                <c:pt idx="75">
                  <c:v>364.71524952079125</c:v>
                </c:pt>
                <c:pt idx="76">
                  <c:v>367.17682774813852</c:v>
                </c:pt>
                <c:pt idx="77">
                  <c:v>365.69352965781917</c:v>
                </c:pt>
                <c:pt idx="78">
                  <c:v>363.10038680762261</c:v>
                </c:pt>
                <c:pt idx="79">
                  <c:v>364.69552950709476</c:v>
                </c:pt>
                <c:pt idx="80">
                  <c:v>364.292929522208</c:v>
                </c:pt>
                <c:pt idx="81">
                  <c:v>366.74412786725264</c:v>
                </c:pt>
                <c:pt idx="82">
                  <c:v>366.38897231505865</c:v>
                </c:pt>
                <c:pt idx="83">
                  <c:v>365.60332611446768</c:v>
                </c:pt>
                <c:pt idx="84">
                  <c:v>361.56077278507689</c:v>
                </c:pt>
                <c:pt idx="85">
                  <c:v>361.78729127484337</c:v>
                </c:pt>
                <c:pt idx="86">
                  <c:v>359.7950428233442</c:v>
                </c:pt>
                <c:pt idx="87">
                  <c:v>358.3353020758197</c:v>
                </c:pt>
                <c:pt idx="88">
                  <c:v>359.86498229895687</c:v>
                </c:pt>
                <c:pt idx="89">
                  <c:v>363.14480056682055</c:v>
                </c:pt>
                <c:pt idx="90">
                  <c:v>362.62068148892149</c:v>
                </c:pt>
                <c:pt idx="91">
                  <c:v>360.22734533552131</c:v>
                </c:pt>
                <c:pt idx="92">
                  <c:v>358.99236351681731</c:v>
                </c:pt>
                <c:pt idx="93">
                  <c:v>356.18375867645466</c:v>
                </c:pt>
                <c:pt idx="94">
                  <c:v>358.6396732730401</c:v>
                </c:pt>
                <c:pt idx="95">
                  <c:v>353.24568896103398</c:v>
                </c:pt>
                <c:pt idx="96">
                  <c:v>355.47051470966096</c:v>
                </c:pt>
                <c:pt idx="97">
                  <c:v>353.70509210458113</c:v>
                </c:pt>
                <c:pt idx="98">
                  <c:v>354.84075565931971</c:v>
                </c:pt>
                <c:pt idx="99">
                  <c:v>353.33184280651858</c:v>
                </c:pt>
                <c:pt idx="100">
                  <c:v>353.47677309190084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0BB-4F3E-A6D9-FD08886701FD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GBM!$K$55:$DG$55</c:f>
              <c:numCache>
                <c:formatCode>General</c:formatCode>
                <c:ptCount val="101"/>
                <c:pt idx="0">
                  <c:v>333.01998901367188</c:v>
                </c:pt>
                <c:pt idx="1">
                  <c:v>333.74504243298935</c:v>
                </c:pt>
                <c:pt idx="2">
                  <c:v>332.34166536954336</c:v>
                </c:pt>
                <c:pt idx="3">
                  <c:v>335.29414450842648</c:v>
                </c:pt>
                <c:pt idx="4">
                  <c:v>334.10069986637541</c:v>
                </c:pt>
                <c:pt idx="5">
                  <c:v>335.3605315777038</c:v>
                </c:pt>
                <c:pt idx="6">
                  <c:v>335.27647286722998</c:v>
                </c:pt>
                <c:pt idx="7">
                  <c:v>336.02079705974779</c:v>
                </c:pt>
                <c:pt idx="8">
                  <c:v>339.11596064042516</c:v>
                </c:pt>
                <c:pt idx="9">
                  <c:v>342.64434788314651</c:v>
                </c:pt>
                <c:pt idx="10">
                  <c:v>346.25697014525736</c:v>
                </c:pt>
                <c:pt idx="11">
                  <c:v>343.23717412003572</c:v>
                </c:pt>
                <c:pt idx="12">
                  <c:v>339.61128711477573</c:v>
                </c:pt>
                <c:pt idx="13">
                  <c:v>337.3333253357124</c:v>
                </c:pt>
                <c:pt idx="14">
                  <c:v>339.01241982690709</c:v>
                </c:pt>
                <c:pt idx="15">
                  <c:v>337.72065517691783</c:v>
                </c:pt>
                <c:pt idx="16">
                  <c:v>338.88312223895599</c:v>
                </c:pt>
                <c:pt idx="17">
                  <c:v>338.46138107669134</c:v>
                </c:pt>
                <c:pt idx="18">
                  <c:v>340.52111793515905</c:v>
                </c:pt>
                <c:pt idx="19">
                  <c:v>344.84291052530801</c:v>
                </c:pt>
                <c:pt idx="20">
                  <c:v>345.83744720307197</c:v>
                </c:pt>
                <c:pt idx="21">
                  <c:v>345.51751233827014</c:v>
                </c:pt>
                <c:pt idx="22">
                  <c:v>349.84146146125579</c:v>
                </c:pt>
                <c:pt idx="23">
                  <c:v>347.97924949391899</c:v>
                </c:pt>
                <c:pt idx="24">
                  <c:v>351.36447491279068</c:v>
                </c:pt>
                <c:pt idx="25">
                  <c:v>350.99629997170291</c:v>
                </c:pt>
                <c:pt idx="26">
                  <c:v>353.29319424922409</c:v>
                </c:pt>
                <c:pt idx="27">
                  <c:v>352.74651660753176</c:v>
                </c:pt>
                <c:pt idx="28">
                  <c:v>353.85377294573431</c:v>
                </c:pt>
                <c:pt idx="29">
                  <c:v>357.40432747477564</c:v>
                </c:pt>
                <c:pt idx="30">
                  <c:v>356.51436920070006</c:v>
                </c:pt>
                <c:pt idx="31">
                  <c:v>359.77483243026933</c:v>
                </c:pt>
                <c:pt idx="32">
                  <c:v>360.29160473317216</c:v>
                </c:pt>
                <c:pt idx="33">
                  <c:v>361.29230045469438</c:v>
                </c:pt>
                <c:pt idx="34">
                  <c:v>357.10395119750552</c:v>
                </c:pt>
                <c:pt idx="35">
                  <c:v>359.46950567345613</c:v>
                </c:pt>
                <c:pt idx="36">
                  <c:v>361.02496839412373</c:v>
                </c:pt>
                <c:pt idx="37">
                  <c:v>359.83090336790013</c:v>
                </c:pt>
                <c:pt idx="38">
                  <c:v>358.55836451843072</c:v>
                </c:pt>
                <c:pt idx="39">
                  <c:v>358.45411256785275</c:v>
                </c:pt>
                <c:pt idx="40">
                  <c:v>357.13857449754846</c:v>
                </c:pt>
                <c:pt idx="41">
                  <c:v>358.06044837160493</c:v>
                </c:pt>
                <c:pt idx="42">
                  <c:v>357.58872560220175</c:v>
                </c:pt>
                <c:pt idx="43">
                  <c:v>355.21155997647958</c:v>
                </c:pt>
                <c:pt idx="44">
                  <c:v>354.74904265151645</c:v>
                </c:pt>
                <c:pt idx="45">
                  <c:v>356.36713632614521</c:v>
                </c:pt>
                <c:pt idx="46">
                  <c:v>356.69824998881995</c:v>
                </c:pt>
                <c:pt idx="47">
                  <c:v>358.27558153105292</c:v>
                </c:pt>
                <c:pt idx="48">
                  <c:v>356.03255362441138</c:v>
                </c:pt>
                <c:pt idx="49">
                  <c:v>356.71250502037611</c:v>
                </c:pt>
                <c:pt idx="50">
                  <c:v>355.23574913182193</c:v>
                </c:pt>
                <c:pt idx="51">
                  <c:v>359.14594110438861</c:v>
                </c:pt>
                <c:pt idx="52">
                  <c:v>357.56704954129333</c:v>
                </c:pt>
                <c:pt idx="53">
                  <c:v>355.51790366811758</c:v>
                </c:pt>
                <c:pt idx="54">
                  <c:v>354.70892614679258</c:v>
                </c:pt>
                <c:pt idx="55">
                  <c:v>357.80833846895445</c:v>
                </c:pt>
                <c:pt idx="56">
                  <c:v>353.56080501854228</c:v>
                </c:pt>
                <c:pt idx="57">
                  <c:v>357.3438945701642</c:v>
                </c:pt>
                <c:pt idx="58">
                  <c:v>355.16286532611684</c:v>
                </c:pt>
                <c:pt idx="59">
                  <c:v>353.9040668367349</c:v>
                </c:pt>
                <c:pt idx="60">
                  <c:v>354.0393928633257</c:v>
                </c:pt>
                <c:pt idx="61">
                  <c:v>348.27433030815178</c:v>
                </c:pt>
                <c:pt idx="62">
                  <c:v>351.49520246270913</c:v>
                </c:pt>
                <c:pt idx="63">
                  <c:v>346.96463416208485</c:v>
                </c:pt>
                <c:pt idx="64">
                  <c:v>352.09946197793317</c:v>
                </c:pt>
                <c:pt idx="65">
                  <c:v>349.83105341992615</c:v>
                </c:pt>
                <c:pt idx="66">
                  <c:v>349.78522871725312</c:v>
                </c:pt>
                <c:pt idx="67">
                  <c:v>347.29005115437633</c:v>
                </c:pt>
                <c:pt idx="68">
                  <c:v>347.44098100165019</c:v>
                </c:pt>
                <c:pt idx="69">
                  <c:v>343.66730707794534</c:v>
                </c:pt>
                <c:pt idx="70">
                  <c:v>346.37255634874873</c:v>
                </c:pt>
                <c:pt idx="71">
                  <c:v>349.57071383178464</c:v>
                </c:pt>
                <c:pt idx="72">
                  <c:v>351.00691111468024</c:v>
                </c:pt>
                <c:pt idx="73">
                  <c:v>349.97895036312576</c:v>
                </c:pt>
                <c:pt idx="74">
                  <c:v>348.76423143960972</c:v>
                </c:pt>
                <c:pt idx="75">
                  <c:v>346.89850804010797</c:v>
                </c:pt>
                <c:pt idx="76">
                  <c:v>343.93963262154074</c:v>
                </c:pt>
                <c:pt idx="77">
                  <c:v>343.08015899162365</c:v>
                </c:pt>
                <c:pt idx="78">
                  <c:v>340.46517113370783</c:v>
                </c:pt>
                <c:pt idx="79">
                  <c:v>338.22430769249678</c:v>
                </c:pt>
                <c:pt idx="80">
                  <c:v>337.51798884612788</c:v>
                </c:pt>
                <c:pt idx="81">
                  <c:v>335.10170638660628</c:v>
                </c:pt>
                <c:pt idx="82">
                  <c:v>338.13147103309211</c:v>
                </c:pt>
                <c:pt idx="83">
                  <c:v>340.54006869779778</c:v>
                </c:pt>
                <c:pt idx="84">
                  <c:v>338.19215754089095</c:v>
                </c:pt>
                <c:pt idx="85">
                  <c:v>342.28045375828145</c:v>
                </c:pt>
                <c:pt idx="86">
                  <c:v>345.98484741906196</c:v>
                </c:pt>
                <c:pt idx="87">
                  <c:v>345.61236398784484</c:v>
                </c:pt>
                <c:pt idx="88">
                  <c:v>346.40086556694422</c:v>
                </c:pt>
                <c:pt idx="89">
                  <c:v>348.76604052464182</c:v>
                </c:pt>
                <c:pt idx="90">
                  <c:v>351.03136924081804</c:v>
                </c:pt>
                <c:pt idx="91">
                  <c:v>350.01321821509413</c:v>
                </c:pt>
                <c:pt idx="92">
                  <c:v>351.74190721024604</c:v>
                </c:pt>
                <c:pt idx="93">
                  <c:v>351.70389943556228</c:v>
                </c:pt>
                <c:pt idx="94">
                  <c:v>349.68109202019468</c:v>
                </c:pt>
                <c:pt idx="95">
                  <c:v>348.64455545907521</c:v>
                </c:pt>
                <c:pt idx="96">
                  <c:v>345.91026214483327</c:v>
                </c:pt>
                <c:pt idx="97">
                  <c:v>344.917647846357</c:v>
                </c:pt>
                <c:pt idx="98">
                  <c:v>343.87249183969692</c:v>
                </c:pt>
                <c:pt idx="99">
                  <c:v>343.87378006562227</c:v>
                </c:pt>
                <c:pt idx="100">
                  <c:v>341.66030504212864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0BB-4F3E-A6D9-FD08886701FD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GBM!$K$56:$DG$56</c:f>
              <c:numCache>
                <c:formatCode>General</c:formatCode>
                <c:ptCount val="101"/>
                <c:pt idx="0">
                  <c:v>333.01998901367188</c:v>
                </c:pt>
                <c:pt idx="1">
                  <c:v>335.80474607051167</c:v>
                </c:pt>
                <c:pt idx="2">
                  <c:v>334.85743126018519</c:v>
                </c:pt>
                <c:pt idx="3">
                  <c:v>336.46840203606109</c:v>
                </c:pt>
                <c:pt idx="4">
                  <c:v>340.08202751633627</c:v>
                </c:pt>
                <c:pt idx="5">
                  <c:v>334.17095743715953</c:v>
                </c:pt>
                <c:pt idx="6">
                  <c:v>332.7132039727727</c:v>
                </c:pt>
                <c:pt idx="7">
                  <c:v>332.6832167020649</c:v>
                </c:pt>
                <c:pt idx="8">
                  <c:v>331.45957719604365</c:v>
                </c:pt>
                <c:pt idx="9">
                  <c:v>331.42338351161101</c:v>
                </c:pt>
                <c:pt idx="10">
                  <c:v>331.27742502661749</c:v>
                </c:pt>
                <c:pt idx="11">
                  <c:v>333.46020580849756</c:v>
                </c:pt>
                <c:pt idx="12">
                  <c:v>334.35369021898055</c:v>
                </c:pt>
                <c:pt idx="13">
                  <c:v>338.21300820425512</c:v>
                </c:pt>
                <c:pt idx="14">
                  <c:v>338.76723555007823</c:v>
                </c:pt>
                <c:pt idx="15">
                  <c:v>338.58177716987439</c:v>
                </c:pt>
                <c:pt idx="16">
                  <c:v>336.77053222238857</c:v>
                </c:pt>
                <c:pt idx="17">
                  <c:v>334.45492476836671</c:v>
                </c:pt>
                <c:pt idx="18">
                  <c:v>336.41687161226173</c:v>
                </c:pt>
                <c:pt idx="19">
                  <c:v>337.90514327504189</c:v>
                </c:pt>
                <c:pt idx="20">
                  <c:v>338.62419854035033</c:v>
                </c:pt>
                <c:pt idx="21">
                  <c:v>339.86043542446538</c:v>
                </c:pt>
                <c:pt idx="22">
                  <c:v>344.92031341167677</c:v>
                </c:pt>
                <c:pt idx="23">
                  <c:v>339.87376792399334</c:v>
                </c:pt>
                <c:pt idx="24">
                  <c:v>335.99959971659928</c:v>
                </c:pt>
                <c:pt idx="25">
                  <c:v>337.60195324534368</c:v>
                </c:pt>
                <c:pt idx="26">
                  <c:v>338.77585548702285</c:v>
                </c:pt>
                <c:pt idx="27">
                  <c:v>340.33583673053391</c:v>
                </c:pt>
                <c:pt idx="28">
                  <c:v>342.69603056483953</c:v>
                </c:pt>
                <c:pt idx="29">
                  <c:v>338.726908389431</c:v>
                </c:pt>
                <c:pt idx="30">
                  <c:v>336.46818878192619</c:v>
                </c:pt>
                <c:pt idx="31">
                  <c:v>340.13982222714804</c:v>
                </c:pt>
                <c:pt idx="32">
                  <c:v>340.67905102691685</c:v>
                </c:pt>
                <c:pt idx="33">
                  <c:v>338.79149091099066</c:v>
                </c:pt>
                <c:pt idx="34">
                  <c:v>336.86060688946162</c:v>
                </c:pt>
                <c:pt idx="35">
                  <c:v>343.2182644386022</c:v>
                </c:pt>
                <c:pt idx="36">
                  <c:v>342.43076844994386</c:v>
                </c:pt>
                <c:pt idx="37">
                  <c:v>342.22432053502405</c:v>
                </c:pt>
                <c:pt idx="38">
                  <c:v>342.1265288188834</c:v>
                </c:pt>
                <c:pt idx="39">
                  <c:v>341.97224848471654</c:v>
                </c:pt>
                <c:pt idx="40">
                  <c:v>339.64014103229613</c:v>
                </c:pt>
                <c:pt idx="41">
                  <c:v>333.80014917397426</c:v>
                </c:pt>
                <c:pt idx="42">
                  <c:v>335.32007574499539</c:v>
                </c:pt>
                <c:pt idx="43">
                  <c:v>341.90842874827945</c:v>
                </c:pt>
                <c:pt idx="44">
                  <c:v>340.48680892776065</c:v>
                </c:pt>
                <c:pt idx="45">
                  <c:v>340.15192055189942</c:v>
                </c:pt>
                <c:pt idx="46">
                  <c:v>338.87558399206222</c:v>
                </c:pt>
                <c:pt idx="47">
                  <c:v>338.03435920745181</c:v>
                </c:pt>
                <c:pt idx="48">
                  <c:v>340.20501389527499</c:v>
                </c:pt>
                <c:pt idx="49">
                  <c:v>337.27939898221274</c:v>
                </c:pt>
                <c:pt idx="50">
                  <c:v>338.91449166810804</c:v>
                </c:pt>
                <c:pt idx="51">
                  <c:v>342.60192799321584</c:v>
                </c:pt>
                <c:pt idx="52">
                  <c:v>343.38416971437834</c:v>
                </c:pt>
                <c:pt idx="53">
                  <c:v>339.64213060377415</c:v>
                </c:pt>
                <c:pt idx="54">
                  <c:v>337.48297881284111</c:v>
                </c:pt>
                <c:pt idx="55">
                  <c:v>336.11064991545067</c:v>
                </c:pt>
                <c:pt idx="56">
                  <c:v>337.12120856232002</c:v>
                </c:pt>
                <c:pt idx="57">
                  <c:v>336.71352794336519</c:v>
                </c:pt>
                <c:pt idx="58">
                  <c:v>336.43719486525504</c:v>
                </c:pt>
                <c:pt idx="59">
                  <c:v>333.93262217292897</c:v>
                </c:pt>
                <c:pt idx="60">
                  <c:v>332.65203726095825</c:v>
                </c:pt>
                <c:pt idx="61">
                  <c:v>334.5902282866769</c:v>
                </c:pt>
                <c:pt idx="62">
                  <c:v>334.91405460772853</c:v>
                </c:pt>
                <c:pt idx="63">
                  <c:v>331.30441406216607</c:v>
                </c:pt>
                <c:pt idx="64">
                  <c:v>331.21064622946875</c:v>
                </c:pt>
                <c:pt idx="65">
                  <c:v>331.32801007435251</c:v>
                </c:pt>
                <c:pt idx="66">
                  <c:v>330.05590154336164</c:v>
                </c:pt>
                <c:pt idx="67">
                  <c:v>331.70725368769024</c:v>
                </c:pt>
                <c:pt idx="68">
                  <c:v>331.45064212470339</c:v>
                </c:pt>
                <c:pt idx="69">
                  <c:v>333.10930188282612</c:v>
                </c:pt>
                <c:pt idx="70">
                  <c:v>332.26506352888873</c:v>
                </c:pt>
                <c:pt idx="71">
                  <c:v>330.81168496735307</c:v>
                </c:pt>
                <c:pt idx="72">
                  <c:v>329.009711389247</c:v>
                </c:pt>
                <c:pt idx="73">
                  <c:v>330.59607967023635</c:v>
                </c:pt>
                <c:pt idx="74">
                  <c:v>333.38652830744326</c:v>
                </c:pt>
                <c:pt idx="75">
                  <c:v>330.69041064141629</c:v>
                </c:pt>
                <c:pt idx="76">
                  <c:v>330.32748050593341</c:v>
                </c:pt>
                <c:pt idx="77">
                  <c:v>328.5963301571818</c:v>
                </c:pt>
                <c:pt idx="78">
                  <c:v>330.46943136465393</c:v>
                </c:pt>
                <c:pt idx="79">
                  <c:v>329.00742968913113</c:v>
                </c:pt>
                <c:pt idx="80">
                  <c:v>332.92365074573996</c:v>
                </c:pt>
                <c:pt idx="81">
                  <c:v>333.6492492710741</c:v>
                </c:pt>
                <c:pt idx="82">
                  <c:v>336.57924828664716</c:v>
                </c:pt>
                <c:pt idx="83">
                  <c:v>339.30787657198726</c:v>
                </c:pt>
                <c:pt idx="84">
                  <c:v>335.59913054657761</c:v>
                </c:pt>
                <c:pt idx="85">
                  <c:v>333.53813877296676</c:v>
                </c:pt>
                <c:pt idx="86">
                  <c:v>332.94879889652026</c:v>
                </c:pt>
                <c:pt idx="87">
                  <c:v>333.83393328930481</c:v>
                </c:pt>
                <c:pt idx="88">
                  <c:v>333.18345606714092</c:v>
                </c:pt>
                <c:pt idx="89">
                  <c:v>335.03164548585642</c:v>
                </c:pt>
                <c:pt idx="90">
                  <c:v>335.30686205711424</c:v>
                </c:pt>
                <c:pt idx="91">
                  <c:v>331.98144920511419</c:v>
                </c:pt>
                <c:pt idx="92">
                  <c:v>331.42864610479404</c:v>
                </c:pt>
                <c:pt idx="93">
                  <c:v>333.42969812478503</c:v>
                </c:pt>
                <c:pt idx="94">
                  <c:v>336.32433721155178</c:v>
                </c:pt>
                <c:pt idx="95">
                  <c:v>334.56347209082156</c:v>
                </c:pt>
                <c:pt idx="96">
                  <c:v>341.72488586690878</c:v>
                </c:pt>
                <c:pt idx="97">
                  <c:v>344.66368812689291</c:v>
                </c:pt>
                <c:pt idx="98">
                  <c:v>343.98380896624963</c:v>
                </c:pt>
                <c:pt idx="99">
                  <c:v>345.98568164948637</c:v>
                </c:pt>
                <c:pt idx="100">
                  <c:v>346.358304440734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0BB-4F3E-A6D9-FD08886701FD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GBM!$K$57:$DG$57</c:f>
              <c:numCache>
                <c:formatCode>General</c:formatCode>
                <c:ptCount val="101"/>
                <c:pt idx="0">
                  <c:v>333.01998901367188</c:v>
                </c:pt>
                <c:pt idx="1">
                  <c:v>333.74805791051267</c:v>
                </c:pt>
                <c:pt idx="2">
                  <c:v>337.46364685639628</c:v>
                </c:pt>
                <c:pt idx="3">
                  <c:v>339.23664750626739</c:v>
                </c:pt>
                <c:pt idx="4">
                  <c:v>341.72780915289195</c:v>
                </c:pt>
                <c:pt idx="5">
                  <c:v>343.10580087434522</c:v>
                </c:pt>
                <c:pt idx="6">
                  <c:v>343.4848690775251</c:v>
                </c:pt>
                <c:pt idx="7">
                  <c:v>346.05481303828509</c:v>
                </c:pt>
                <c:pt idx="8">
                  <c:v>342.94974980469198</c:v>
                </c:pt>
                <c:pt idx="9">
                  <c:v>342.46407856642185</c:v>
                </c:pt>
                <c:pt idx="10">
                  <c:v>341.33252133037507</c:v>
                </c:pt>
                <c:pt idx="11">
                  <c:v>341.43602288679415</c:v>
                </c:pt>
                <c:pt idx="12">
                  <c:v>338.80663959819907</c:v>
                </c:pt>
                <c:pt idx="13">
                  <c:v>338.61527214619974</c:v>
                </c:pt>
                <c:pt idx="14">
                  <c:v>338.84423776303242</c:v>
                </c:pt>
                <c:pt idx="15">
                  <c:v>335.39126519085562</c:v>
                </c:pt>
                <c:pt idx="16">
                  <c:v>338.6294509125338</c:v>
                </c:pt>
                <c:pt idx="17">
                  <c:v>342.49123429895042</c:v>
                </c:pt>
                <c:pt idx="18">
                  <c:v>343.56813604585204</c:v>
                </c:pt>
                <c:pt idx="19">
                  <c:v>342.36600670787954</c:v>
                </c:pt>
                <c:pt idx="20">
                  <c:v>344.90646292766257</c:v>
                </c:pt>
                <c:pt idx="21">
                  <c:v>340.933185543116</c:v>
                </c:pt>
                <c:pt idx="22">
                  <c:v>341.32796805329684</c:v>
                </c:pt>
                <c:pt idx="23">
                  <c:v>339.92358404540209</c:v>
                </c:pt>
                <c:pt idx="24">
                  <c:v>339.29281171126212</c:v>
                </c:pt>
                <c:pt idx="25">
                  <c:v>339.07751011339877</c:v>
                </c:pt>
                <c:pt idx="26">
                  <c:v>341.82006601159247</c:v>
                </c:pt>
                <c:pt idx="27">
                  <c:v>343.51515511619033</c:v>
                </c:pt>
                <c:pt idx="28">
                  <c:v>340.85393074105986</c:v>
                </c:pt>
                <c:pt idx="29">
                  <c:v>340.86880297974142</c:v>
                </c:pt>
                <c:pt idx="30">
                  <c:v>344.53680380739326</c:v>
                </c:pt>
                <c:pt idx="31">
                  <c:v>344.22447983909751</c:v>
                </c:pt>
                <c:pt idx="32">
                  <c:v>342.20218494294932</c:v>
                </c:pt>
                <c:pt idx="33">
                  <c:v>346.3138552667923</c:v>
                </c:pt>
                <c:pt idx="34">
                  <c:v>346.75634395991443</c:v>
                </c:pt>
                <c:pt idx="35">
                  <c:v>348.52564510451299</c:v>
                </c:pt>
                <c:pt idx="36">
                  <c:v>348.837903262559</c:v>
                </c:pt>
                <c:pt idx="37">
                  <c:v>348.87253811844948</c:v>
                </c:pt>
                <c:pt idx="38">
                  <c:v>347.22059542254726</c:v>
                </c:pt>
                <c:pt idx="39">
                  <c:v>340.68386930998673</c:v>
                </c:pt>
                <c:pt idx="40">
                  <c:v>343.47865051665968</c:v>
                </c:pt>
                <c:pt idx="41">
                  <c:v>345.03669800557452</c:v>
                </c:pt>
                <c:pt idx="42">
                  <c:v>343.02078172585743</c:v>
                </c:pt>
                <c:pt idx="43">
                  <c:v>342.92820518914903</c:v>
                </c:pt>
                <c:pt idx="44">
                  <c:v>343.6925014311916</c:v>
                </c:pt>
                <c:pt idx="45">
                  <c:v>343.80340305027647</c:v>
                </c:pt>
                <c:pt idx="46">
                  <c:v>341.76443126175593</c:v>
                </c:pt>
                <c:pt idx="47">
                  <c:v>343.79942333088633</c:v>
                </c:pt>
                <c:pt idx="48">
                  <c:v>347.0060154941487</c:v>
                </c:pt>
                <c:pt idx="49">
                  <c:v>348.92624722988057</c:v>
                </c:pt>
                <c:pt idx="50">
                  <c:v>347.6732562143871</c:v>
                </c:pt>
                <c:pt idx="51">
                  <c:v>342.93462364054028</c:v>
                </c:pt>
                <c:pt idx="52">
                  <c:v>341.06730717776799</c:v>
                </c:pt>
                <c:pt idx="53">
                  <c:v>342.28471249127267</c:v>
                </c:pt>
                <c:pt idx="54">
                  <c:v>341.93542193685829</c:v>
                </c:pt>
                <c:pt idx="55">
                  <c:v>339.26332733010162</c:v>
                </c:pt>
                <c:pt idx="56">
                  <c:v>339.90238343538448</c:v>
                </c:pt>
                <c:pt idx="57">
                  <c:v>332.22946974017202</c:v>
                </c:pt>
                <c:pt idx="58">
                  <c:v>331.24052174843433</c:v>
                </c:pt>
                <c:pt idx="59">
                  <c:v>331.03445366558412</c:v>
                </c:pt>
                <c:pt idx="60">
                  <c:v>330.06654746475908</c:v>
                </c:pt>
                <c:pt idx="61">
                  <c:v>331.11576222964084</c:v>
                </c:pt>
                <c:pt idx="62">
                  <c:v>330.99555472220044</c:v>
                </c:pt>
                <c:pt idx="63">
                  <c:v>329.09753095240194</c:v>
                </c:pt>
                <c:pt idx="64">
                  <c:v>332.33859478946817</c:v>
                </c:pt>
                <c:pt idx="65">
                  <c:v>331.41592062983727</c:v>
                </c:pt>
                <c:pt idx="66">
                  <c:v>331.2238086582833</c:v>
                </c:pt>
                <c:pt idx="67">
                  <c:v>332.65149066380923</c:v>
                </c:pt>
                <c:pt idx="68">
                  <c:v>329.07301610664058</c:v>
                </c:pt>
                <c:pt idx="69">
                  <c:v>328.1243494811348</c:v>
                </c:pt>
                <c:pt idx="70">
                  <c:v>327.25083031861215</c:v>
                </c:pt>
                <c:pt idx="71">
                  <c:v>331.56255938060747</c:v>
                </c:pt>
                <c:pt idx="72">
                  <c:v>333.82227336807193</c:v>
                </c:pt>
                <c:pt idx="73">
                  <c:v>332.4142051987605</c:v>
                </c:pt>
                <c:pt idx="74">
                  <c:v>336.35692037636721</c:v>
                </c:pt>
                <c:pt idx="75">
                  <c:v>338.01960421528315</c:v>
                </c:pt>
                <c:pt idx="76">
                  <c:v>335.24791247029151</c:v>
                </c:pt>
                <c:pt idx="77">
                  <c:v>330.98927681495434</c:v>
                </c:pt>
                <c:pt idx="78">
                  <c:v>331.21790083332775</c:v>
                </c:pt>
                <c:pt idx="79">
                  <c:v>331.26223943587064</c:v>
                </c:pt>
                <c:pt idx="80">
                  <c:v>333.20709808992552</c:v>
                </c:pt>
                <c:pt idx="81">
                  <c:v>333.36848904399227</c:v>
                </c:pt>
                <c:pt idx="82">
                  <c:v>337.06485118332375</c:v>
                </c:pt>
                <c:pt idx="83">
                  <c:v>333.72412480867325</c:v>
                </c:pt>
                <c:pt idx="84">
                  <c:v>335.12000434569148</c:v>
                </c:pt>
                <c:pt idx="85">
                  <c:v>332.4397889944421</c:v>
                </c:pt>
                <c:pt idx="86">
                  <c:v>331.73164713954156</c:v>
                </c:pt>
                <c:pt idx="87">
                  <c:v>336.34231576131094</c:v>
                </c:pt>
                <c:pt idx="88">
                  <c:v>338.56547662861323</c:v>
                </c:pt>
                <c:pt idx="89">
                  <c:v>345.28819308148007</c:v>
                </c:pt>
                <c:pt idx="90">
                  <c:v>345.7852974426176</c:v>
                </c:pt>
                <c:pt idx="91">
                  <c:v>349.23807822150224</c:v>
                </c:pt>
                <c:pt idx="92">
                  <c:v>349.28905030746188</c:v>
                </c:pt>
                <c:pt idx="93">
                  <c:v>349.11004791448499</c:v>
                </c:pt>
                <c:pt idx="94">
                  <c:v>344.87768517186527</c:v>
                </c:pt>
                <c:pt idx="95">
                  <c:v>344.1282099167733</c:v>
                </c:pt>
                <c:pt idx="96">
                  <c:v>340.53969453481176</c:v>
                </c:pt>
                <c:pt idx="97">
                  <c:v>337.99723889980424</c:v>
                </c:pt>
                <c:pt idx="98">
                  <c:v>338.49308890926858</c:v>
                </c:pt>
                <c:pt idx="99">
                  <c:v>342.52332885703544</c:v>
                </c:pt>
                <c:pt idx="100">
                  <c:v>343.77833748311485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90BB-4F3E-A6D9-FD08886701FD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GBM!$K$58:$DG$58</c:f>
              <c:numCache>
                <c:formatCode>General</c:formatCode>
                <c:ptCount val="101"/>
                <c:pt idx="0">
                  <c:v>333.01998901367188</c:v>
                </c:pt>
                <c:pt idx="1">
                  <c:v>334.67335359674411</c:v>
                </c:pt>
                <c:pt idx="2">
                  <c:v>334.42318652650209</c:v>
                </c:pt>
                <c:pt idx="3">
                  <c:v>337.00587380122693</c:v>
                </c:pt>
                <c:pt idx="4">
                  <c:v>339.16451854205587</c:v>
                </c:pt>
                <c:pt idx="5">
                  <c:v>336.92219530678847</c:v>
                </c:pt>
                <c:pt idx="6">
                  <c:v>341.32191356716288</c:v>
                </c:pt>
                <c:pt idx="7">
                  <c:v>341.70404055778317</c:v>
                </c:pt>
                <c:pt idx="8">
                  <c:v>341.85635264070874</c:v>
                </c:pt>
                <c:pt idx="9">
                  <c:v>341.8246666070101</c:v>
                </c:pt>
                <c:pt idx="10">
                  <c:v>345.50683963869807</c:v>
                </c:pt>
                <c:pt idx="11">
                  <c:v>348.87991417813674</c:v>
                </c:pt>
                <c:pt idx="12">
                  <c:v>348.90473326551023</c:v>
                </c:pt>
                <c:pt idx="13">
                  <c:v>346.59329688548894</c:v>
                </c:pt>
                <c:pt idx="14">
                  <c:v>349.34904666567706</c:v>
                </c:pt>
                <c:pt idx="15">
                  <c:v>351.24813748874703</c:v>
                </c:pt>
                <c:pt idx="16">
                  <c:v>350.86213639315235</c:v>
                </c:pt>
                <c:pt idx="17">
                  <c:v>349.88431813199333</c:v>
                </c:pt>
                <c:pt idx="18">
                  <c:v>353.95363244805179</c:v>
                </c:pt>
                <c:pt idx="19">
                  <c:v>354.95937345918918</c:v>
                </c:pt>
                <c:pt idx="20">
                  <c:v>353.09503155367554</c:v>
                </c:pt>
                <c:pt idx="21">
                  <c:v>354.3343200847296</c:v>
                </c:pt>
                <c:pt idx="22">
                  <c:v>350.87502315567065</c:v>
                </c:pt>
                <c:pt idx="23">
                  <c:v>349.62502224629725</c:v>
                </c:pt>
                <c:pt idx="24">
                  <c:v>346.9926513556245</c:v>
                </c:pt>
                <c:pt idx="25">
                  <c:v>345.25879680404188</c:v>
                </c:pt>
                <c:pt idx="26">
                  <c:v>344.86089084549474</c:v>
                </c:pt>
                <c:pt idx="27">
                  <c:v>346.97873010621839</c:v>
                </c:pt>
                <c:pt idx="28">
                  <c:v>348.16473784127123</c:v>
                </c:pt>
                <c:pt idx="29">
                  <c:v>346.04306726260251</c:v>
                </c:pt>
                <c:pt idx="30">
                  <c:v>339.70222536677579</c:v>
                </c:pt>
                <c:pt idx="31">
                  <c:v>338.28471568955234</c:v>
                </c:pt>
                <c:pt idx="32">
                  <c:v>337.74913678938321</c:v>
                </c:pt>
                <c:pt idx="33">
                  <c:v>338.93840647074944</c:v>
                </c:pt>
                <c:pt idx="34">
                  <c:v>337.94655854169918</c:v>
                </c:pt>
                <c:pt idx="35">
                  <c:v>338.64181334166443</c:v>
                </c:pt>
                <c:pt idx="36">
                  <c:v>338.92697321457291</c:v>
                </c:pt>
                <c:pt idx="37">
                  <c:v>337.66874022234038</c:v>
                </c:pt>
                <c:pt idx="38">
                  <c:v>337.61899206206436</c:v>
                </c:pt>
                <c:pt idx="39">
                  <c:v>337.37402441341601</c:v>
                </c:pt>
                <c:pt idx="40">
                  <c:v>336.06306304165514</c:v>
                </c:pt>
                <c:pt idx="41">
                  <c:v>336.05027081034422</c:v>
                </c:pt>
                <c:pt idx="42">
                  <c:v>335.66003289866359</c:v>
                </c:pt>
                <c:pt idx="43">
                  <c:v>332.8669609034884</c:v>
                </c:pt>
                <c:pt idx="44">
                  <c:v>329.44580132076703</c:v>
                </c:pt>
                <c:pt idx="45">
                  <c:v>335.02787988188669</c:v>
                </c:pt>
                <c:pt idx="46">
                  <c:v>334.94189279230812</c:v>
                </c:pt>
                <c:pt idx="47">
                  <c:v>336.87227192886763</c:v>
                </c:pt>
                <c:pt idx="48">
                  <c:v>339.76120327983159</c:v>
                </c:pt>
                <c:pt idx="49">
                  <c:v>342.11036225196256</c:v>
                </c:pt>
                <c:pt idx="50">
                  <c:v>339.97879067706583</c:v>
                </c:pt>
                <c:pt idx="51">
                  <c:v>341.6681081230164</c:v>
                </c:pt>
                <c:pt idx="52">
                  <c:v>344.54198245970576</c:v>
                </c:pt>
                <c:pt idx="53">
                  <c:v>341.99150029284147</c:v>
                </c:pt>
                <c:pt idx="54">
                  <c:v>344.26734562833826</c:v>
                </c:pt>
                <c:pt idx="55">
                  <c:v>344.84809717801295</c:v>
                </c:pt>
                <c:pt idx="56">
                  <c:v>351.58574834161789</c:v>
                </c:pt>
                <c:pt idx="57">
                  <c:v>347.73534053094011</c:v>
                </c:pt>
                <c:pt idx="58">
                  <c:v>351.46133539338683</c:v>
                </c:pt>
                <c:pt idx="59">
                  <c:v>350.74209711031858</c:v>
                </c:pt>
                <c:pt idx="60">
                  <c:v>353.47635148690267</c:v>
                </c:pt>
                <c:pt idx="61">
                  <c:v>352.7915301227107</c:v>
                </c:pt>
                <c:pt idx="62">
                  <c:v>349.81670356952208</c:v>
                </c:pt>
                <c:pt idx="63">
                  <c:v>347.25258204944282</c:v>
                </c:pt>
                <c:pt idx="64">
                  <c:v>350.18745820389682</c:v>
                </c:pt>
                <c:pt idx="65">
                  <c:v>347.74884446040994</c:v>
                </c:pt>
                <c:pt idx="66">
                  <c:v>350.07667651838301</c:v>
                </c:pt>
                <c:pt idx="67">
                  <c:v>347.79273953062648</c:v>
                </c:pt>
                <c:pt idx="68">
                  <c:v>347.37304216912139</c:v>
                </c:pt>
                <c:pt idx="69">
                  <c:v>341.73069790290822</c:v>
                </c:pt>
                <c:pt idx="70">
                  <c:v>341.56180714245784</c:v>
                </c:pt>
                <c:pt idx="71">
                  <c:v>339.80603437424355</c:v>
                </c:pt>
                <c:pt idx="72">
                  <c:v>342.94314493787789</c:v>
                </c:pt>
                <c:pt idx="73">
                  <c:v>342.31594706709444</c:v>
                </c:pt>
                <c:pt idx="74">
                  <c:v>343.51372664427794</c:v>
                </c:pt>
                <c:pt idx="75">
                  <c:v>345.92597242061458</c:v>
                </c:pt>
                <c:pt idx="76">
                  <c:v>348.38199697890218</c:v>
                </c:pt>
                <c:pt idx="77">
                  <c:v>349.48394856393435</c:v>
                </c:pt>
                <c:pt idx="78">
                  <c:v>353.28946472402663</c:v>
                </c:pt>
                <c:pt idx="79">
                  <c:v>356.94061093069729</c:v>
                </c:pt>
                <c:pt idx="80">
                  <c:v>352.84689004560943</c:v>
                </c:pt>
                <c:pt idx="81">
                  <c:v>352.62677171128115</c:v>
                </c:pt>
                <c:pt idx="82">
                  <c:v>354.15135621675773</c:v>
                </c:pt>
                <c:pt idx="83">
                  <c:v>357.35849672371108</c:v>
                </c:pt>
                <c:pt idx="84">
                  <c:v>354.45576300995475</c:v>
                </c:pt>
                <c:pt idx="85">
                  <c:v>353.45557554728322</c:v>
                </c:pt>
                <c:pt idx="86">
                  <c:v>355.23872358383426</c:v>
                </c:pt>
                <c:pt idx="87">
                  <c:v>354.25452977200479</c:v>
                </c:pt>
                <c:pt idx="88">
                  <c:v>354.67053010630332</c:v>
                </c:pt>
                <c:pt idx="89">
                  <c:v>356.46472397899703</c:v>
                </c:pt>
                <c:pt idx="90">
                  <c:v>357.05169895089205</c:v>
                </c:pt>
                <c:pt idx="91">
                  <c:v>357.5403728780397</c:v>
                </c:pt>
                <c:pt idx="92">
                  <c:v>359.7015589365875</c:v>
                </c:pt>
                <c:pt idx="93">
                  <c:v>359.79573467555508</c:v>
                </c:pt>
                <c:pt idx="94">
                  <c:v>361.38179711702372</c:v>
                </c:pt>
                <c:pt idx="95">
                  <c:v>363.14621257075032</c:v>
                </c:pt>
                <c:pt idx="96">
                  <c:v>367.69260117478916</c:v>
                </c:pt>
                <c:pt idx="97">
                  <c:v>369.99323077242792</c:v>
                </c:pt>
                <c:pt idx="98">
                  <c:v>368.30788570638515</c:v>
                </c:pt>
                <c:pt idx="99">
                  <c:v>368.037483546533</c:v>
                </c:pt>
                <c:pt idx="100">
                  <c:v>369.1407093743673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90BB-4F3E-A6D9-FD0888670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19007231"/>
        <c:axId val="1619012031"/>
      </c:lineChart>
      <c:catAx>
        <c:axId val="1619007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19012031"/>
        <c:crosses val="autoZero"/>
        <c:auto val="1"/>
        <c:lblAlgn val="ctr"/>
        <c:lblOffset val="100"/>
        <c:noMultiLvlLbl val="0"/>
      </c:catAx>
      <c:valAx>
        <c:axId val="1619012031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1900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GBM!$K$61:$DG$61</c:f>
              <c:numCache>
                <c:formatCode>General</c:formatCode>
                <c:ptCount val="101"/>
                <c:pt idx="0">
                  <c:v>333.01998901367188</c:v>
                </c:pt>
                <c:pt idx="1">
                  <c:v>333.57261277901051</c:v>
                </c:pt>
                <c:pt idx="2">
                  <c:v>332.69939987667425</c:v>
                </c:pt>
                <c:pt idx="3">
                  <c:v>333.98022434956385</c:v>
                </c:pt>
                <c:pt idx="4">
                  <c:v>334.32017540719124</c:v>
                </c:pt>
                <c:pt idx="5">
                  <c:v>333.55796779153775</c:v>
                </c:pt>
                <c:pt idx="6">
                  <c:v>333.33803027271233</c:v>
                </c:pt>
                <c:pt idx="7">
                  <c:v>333.6979329215124</c:v>
                </c:pt>
                <c:pt idx="8">
                  <c:v>334.01517117856639</c:v>
                </c:pt>
                <c:pt idx="9">
                  <c:v>334.63880607595786</c:v>
                </c:pt>
                <c:pt idx="10">
                  <c:v>334.54158014940128</c:v>
                </c:pt>
                <c:pt idx="11">
                  <c:v>334.86188377717406</c:v>
                </c:pt>
                <c:pt idx="12">
                  <c:v>333.6270755452295</c:v>
                </c:pt>
                <c:pt idx="13">
                  <c:v>332.95531220368099</c:v>
                </c:pt>
                <c:pt idx="14">
                  <c:v>333.91721155144154</c:v>
                </c:pt>
                <c:pt idx="15">
                  <c:v>334.78917785394276</c:v>
                </c:pt>
                <c:pt idx="16">
                  <c:v>334.80434820865139</c:v>
                </c:pt>
                <c:pt idx="17">
                  <c:v>334.59036250973696</c:v>
                </c:pt>
                <c:pt idx="18">
                  <c:v>335.96070994882194</c:v>
                </c:pt>
                <c:pt idx="19">
                  <c:v>337.25926866435418</c:v>
                </c:pt>
                <c:pt idx="20">
                  <c:v>337.93131304131521</c:v>
                </c:pt>
                <c:pt idx="21">
                  <c:v>338.0277636954799</c:v>
                </c:pt>
                <c:pt idx="22">
                  <c:v>339.11147060369944</c:v>
                </c:pt>
                <c:pt idx="23">
                  <c:v>338.24184909409234</c:v>
                </c:pt>
                <c:pt idx="24">
                  <c:v>338.82588507869912</c:v>
                </c:pt>
                <c:pt idx="25">
                  <c:v>339.65863382275489</c:v>
                </c:pt>
                <c:pt idx="26">
                  <c:v>340.82626950420996</c:v>
                </c:pt>
                <c:pt idx="27">
                  <c:v>340.38441714061071</c:v>
                </c:pt>
                <c:pt idx="28">
                  <c:v>340.29701269474396</c:v>
                </c:pt>
                <c:pt idx="29">
                  <c:v>340.60366717511386</c:v>
                </c:pt>
                <c:pt idx="30">
                  <c:v>339.65605492630056</c:v>
                </c:pt>
                <c:pt idx="31">
                  <c:v>340.88381592727785</c:v>
                </c:pt>
                <c:pt idx="32">
                  <c:v>340.05613957665309</c:v>
                </c:pt>
                <c:pt idx="33">
                  <c:v>340.78394771082202</c:v>
                </c:pt>
                <c:pt idx="34">
                  <c:v>340.76131529223522</c:v>
                </c:pt>
                <c:pt idx="35">
                  <c:v>341.85062136304111</c:v>
                </c:pt>
                <c:pt idx="36">
                  <c:v>341.6741132749097</c:v>
                </c:pt>
                <c:pt idx="37">
                  <c:v>341.4648733729282</c:v>
                </c:pt>
                <c:pt idx="38">
                  <c:v>341.48081804686478</c:v>
                </c:pt>
                <c:pt idx="39">
                  <c:v>340.88782175732047</c:v>
                </c:pt>
                <c:pt idx="40">
                  <c:v>341.03728180490691</c:v>
                </c:pt>
                <c:pt idx="41">
                  <c:v>341.26519888181934</c:v>
                </c:pt>
                <c:pt idx="42">
                  <c:v>341.722978545861</c:v>
                </c:pt>
                <c:pt idx="43">
                  <c:v>342.60343904065877</c:v>
                </c:pt>
                <c:pt idx="44">
                  <c:v>341.96622025459567</c:v>
                </c:pt>
                <c:pt idx="45">
                  <c:v>342.65031455877522</c:v>
                </c:pt>
                <c:pt idx="46">
                  <c:v>342.99153508322559</c:v>
                </c:pt>
                <c:pt idx="47">
                  <c:v>343.34697427845276</c:v>
                </c:pt>
                <c:pt idx="48">
                  <c:v>344.39011891698885</c:v>
                </c:pt>
                <c:pt idx="49">
                  <c:v>344.59181071399922</c:v>
                </c:pt>
                <c:pt idx="50">
                  <c:v>344.58773789217645</c:v>
                </c:pt>
                <c:pt idx="51">
                  <c:v>344.67788750715852</c:v>
                </c:pt>
                <c:pt idx="52">
                  <c:v>345.40646823071364</c:v>
                </c:pt>
                <c:pt idx="53">
                  <c:v>345.21756227639889</c:v>
                </c:pt>
                <c:pt idx="54">
                  <c:v>345.7079561064607</c:v>
                </c:pt>
                <c:pt idx="55">
                  <c:v>345.49334308759035</c:v>
                </c:pt>
                <c:pt idx="56">
                  <c:v>346.00483175142455</c:v>
                </c:pt>
                <c:pt idx="57">
                  <c:v>343.71920608386245</c:v>
                </c:pt>
                <c:pt idx="58">
                  <c:v>345.32594233442688</c:v>
                </c:pt>
                <c:pt idx="59">
                  <c:v>344.85413685079027</c:v>
                </c:pt>
                <c:pt idx="60">
                  <c:v>345.32585708655597</c:v>
                </c:pt>
                <c:pt idx="61">
                  <c:v>345.18294589461806</c:v>
                </c:pt>
                <c:pt idx="62">
                  <c:v>344.97659209299974</c:v>
                </c:pt>
                <c:pt idx="63">
                  <c:v>343.56703895716566</c:v>
                </c:pt>
                <c:pt idx="64">
                  <c:v>344.30043558148532</c:v>
                </c:pt>
                <c:pt idx="65">
                  <c:v>343.43934963713633</c:v>
                </c:pt>
                <c:pt idx="66">
                  <c:v>344.08085121581945</c:v>
                </c:pt>
                <c:pt idx="67">
                  <c:v>343.24340727522207</c:v>
                </c:pt>
                <c:pt idx="68">
                  <c:v>343.03148249814711</c:v>
                </c:pt>
                <c:pt idx="69">
                  <c:v>342.27474623816119</c:v>
                </c:pt>
                <c:pt idx="70">
                  <c:v>342.16831541435863</c:v>
                </c:pt>
                <c:pt idx="71">
                  <c:v>342.18780025852959</c:v>
                </c:pt>
                <c:pt idx="72">
                  <c:v>342.33824084295316</c:v>
                </c:pt>
                <c:pt idx="73">
                  <c:v>341.99478581238293</c:v>
                </c:pt>
                <c:pt idx="74">
                  <c:v>342.06397748543282</c:v>
                </c:pt>
                <c:pt idx="75">
                  <c:v>342.31067963733034</c:v>
                </c:pt>
                <c:pt idx="76">
                  <c:v>343.06709154594489</c:v>
                </c:pt>
                <c:pt idx="77">
                  <c:v>343.03764966517349</c:v>
                </c:pt>
                <c:pt idx="78">
                  <c:v>342.83566171395597</c:v>
                </c:pt>
                <c:pt idx="79">
                  <c:v>342.44603437540081</c:v>
                </c:pt>
                <c:pt idx="80">
                  <c:v>342.55456276571454</c:v>
                </c:pt>
                <c:pt idx="81">
                  <c:v>342.05027979638231</c:v>
                </c:pt>
                <c:pt idx="82">
                  <c:v>342.8705348737891</c:v>
                </c:pt>
                <c:pt idx="83">
                  <c:v>343.30754731303705</c:v>
                </c:pt>
                <c:pt idx="84">
                  <c:v>342.9908829366147</c:v>
                </c:pt>
                <c:pt idx="85">
                  <c:v>342.09120477770034</c:v>
                </c:pt>
                <c:pt idx="86">
                  <c:v>343.27313394796045</c:v>
                </c:pt>
                <c:pt idx="87">
                  <c:v>343.82649187585969</c:v>
                </c:pt>
                <c:pt idx="88">
                  <c:v>344.90021154985942</c:v>
                </c:pt>
                <c:pt idx="89">
                  <c:v>346.68036150966367</c:v>
                </c:pt>
                <c:pt idx="90">
                  <c:v>346.46944680240523</c:v>
                </c:pt>
                <c:pt idx="91">
                  <c:v>345.53482739535826</c:v>
                </c:pt>
                <c:pt idx="92">
                  <c:v>345.47941521515111</c:v>
                </c:pt>
                <c:pt idx="93">
                  <c:v>345.75861951222765</c:v>
                </c:pt>
                <c:pt idx="94">
                  <c:v>345.94053049084999</c:v>
                </c:pt>
                <c:pt idx="95">
                  <c:v>345.77764009713547</c:v>
                </c:pt>
                <c:pt idx="96">
                  <c:v>346.4555597202293</c:v>
                </c:pt>
                <c:pt idx="97">
                  <c:v>345.35913414375739</c:v>
                </c:pt>
                <c:pt idx="98">
                  <c:v>345.43074154015699</c:v>
                </c:pt>
                <c:pt idx="99">
                  <c:v>346.20722062660013</c:v>
                </c:pt>
                <c:pt idx="100">
                  <c:v>345.82886766055486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2D-48E6-B354-E471BA087E5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GBM!$K$62:$DG$62</c:f>
              <c:numCache>
                <c:formatCode>General</c:formatCode>
                <c:ptCount val="101"/>
                <c:pt idx="0">
                  <c:v>333.01998901367188</c:v>
                </c:pt>
                <c:pt idx="1">
                  <c:v>336.28130525254244</c:v>
                </c:pt>
                <c:pt idx="2">
                  <c:v>340.0531396783835</c:v>
                </c:pt>
                <c:pt idx="3">
                  <c:v>342.75126207395198</c:v>
                </c:pt>
                <c:pt idx="4">
                  <c:v>345.84173504007026</c:v>
                </c:pt>
                <c:pt idx="5">
                  <c:v>344.26526726970701</c:v>
                </c:pt>
                <c:pt idx="6">
                  <c:v>345.29781984458276</c:v>
                </c:pt>
                <c:pt idx="7">
                  <c:v>346.35547160221125</c:v>
                </c:pt>
                <c:pt idx="8">
                  <c:v>345.26062902275646</c:v>
                </c:pt>
                <c:pt idx="9">
                  <c:v>345.81881445786138</c:v>
                </c:pt>
                <c:pt idx="10">
                  <c:v>348.98549257463264</c:v>
                </c:pt>
                <c:pt idx="11">
                  <c:v>349.65034042673858</c:v>
                </c:pt>
                <c:pt idx="12">
                  <c:v>348.81207093228176</c:v>
                </c:pt>
                <c:pt idx="13">
                  <c:v>348.94282674886824</c:v>
                </c:pt>
                <c:pt idx="14">
                  <c:v>351.40252464637911</c:v>
                </c:pt>
                <c:pt idx="15">
                  <c:v>351.02548256517179</c:v>
                </c:pt>
                <c:pt idx="16">
                  <c:v>352.33697180130702</c:v>
                </c:pt>
                <c:pt idx="17">
                  <c:v>353.25067189925892</c:v>
                </c:pt>
                <c:pt idx="18">
                  <c:v>356.5863035745067</c:v>
                </c:pt>
                <c:pt idx="19">
                  <c:v>359.49302152954323</c:v>
                </c:pt>
                <c:pt idx="20">
                  <c:v>361.46663519455086</c:v>
                </c:pt>
                <c:pt idx="21">
                  <c:v>362.79285995966063</c:v>
                </c:pt>
                <c:pt idx="22">
                  <c:v>365.52769192756045</c:v>
                </c:pt>
                <c:pt idx="23">
                  <c:v>365.1909304714348</c:v>
                </c:pt>
                <c:pt idx="24">
                  <c:v>368.20584287100019</c:v>
                </c:pt>
                <c:pt idx="25">
                  <c:v>369.37387362309562</c:v>
                </c:pt>
                <c:pt idx="26">
                  <c:v>370.7467767617386</c:v>
                </c:pt>
                <c:pt idx="27">
                  <c:v>370.07795514174586</c:v>
                </c:pt>
                <c:pt idx="28">
                  <c:v>369.05589951857661</c:v>
                </c:pt>
                <c:pt idx="29">
                  <c:v>368.82162056543473</c:v>
                </c:pt>
                <c:pt idx="30">
                  <c:v>367.35596835816449</c:v>
                </c:pt>
                <c:pt idx="31">
                  <c:v>368.52281831067842</c:v>
                </c:pt>
                <c:pt idx="32">
                  <c:v>367.17623125941668</c:v>
                </c:pt>
                <c:pt idx="33">
                  <c:v>368.28344179076919</c:v>
                </c:pt>
                <c:pt idx="34">
                  <c:v>364.81526589058512</c:v>
                </c:pt>
                <c:pt idx="35">
                  <c:v>366.74695696765951</c:v>
                </c:pt>
                <c:pt idx="36">
                  <c:v>367.81362326014317</c:v>
                </c:pt>
                <c:pt idx="37">
                  <c:v>366.44330419376382</c:v>
                </c:pt>
                <c:pt idx="38">
                  <c:v>367.15874178050456</c:v>
                </c:pt>
                <c:pt idx="39">
                  <c:v>366.19455959318645</c:v>
                </c:pt>
                <c:pt idx="40">
                  <c:v>367.51271628488223</c:v>
                </c:pt>
                <c:pt idx="41">
                  <c:v>367.56713470083076</c:v>
                </c:pt>
                <c:pt idx="42">
                  <c:v>366.64281433704667</c:v>
                </c:pt>
                <c:pt idx="43">
                  <c:v>366.05696227302565</c:v>
                </c:pt>
                <c:pt idx="44">
                  <c:v>365.96151648899581</c:v>
                </c:pt>
                <c:pt idx="45">
                  <c:v>365.458777417568</c:v>
                </c:pt>
                <c:pt idx="46">
                  <c:v>366.46368587328777</c:v>
                </c:pt>
                <c:pt idx="47">
                  <c:v>369.16714194791047</c:v>
                </c:pt>
                <c:pt idx="48">
                  <c:v>369.35702152546787</c:v>
                </c:pt>
                <c:pt idx="49">
                  <c:v>367.58153696930299</c:v>
                </c:pt>
                <c:pt idx="50">
                  <c:v>369.16880271301545</c:v>
                </c:pt>
                <c:pt idx="51">
                  <c:v>370.85732045165008</c:v>
                </c:pt>
                <c:pt idx="52">
                  <c:v>371.52695801211456</c:v>
                </c:pt>
                <c:pt idx="53">
                  <c:v>368.33007309411488</c:v>
                </c:pt>
                <c:pt idx="54">
                  <c:v>372.69552967754731</c:v>
                </c:pt>
                <c:pt idx="55">
                  <c:v>372.93699657390965</c:v>
                </c:pt>
                <c:pt idx="56">
                  <c:v>373.36880770615204</c:v>
                </c:pt>
                <c:pt idx="57">
                  <c:v>372.11570680692148</c:v>
                </c:pt>
                <c:pt idx="58">
                  <c:v>373.79231505693957</c:v>
                </c:pt>
                <c:pt idx="59">
                  <c:v>372.66980813212524</c:v>
                </c:pt>
                <c:pt idx="60">
                  <c:v>374.77979370910612</c:v>
                </c:pt>
                <c:pt idx="61">
                  <c:v>375.99225700012749</c:v>
                </c:pt>
                <c:pt idx="62">
                  <c:v>376.95794117217889</c:v>
                </c:pt>
                <c:pt idx="63">
                  <c:v>375.67664407680479</c:v>
                </c:pt>
                <c:pt idx="64">
                  <c:v>377.52749478671495</c:v>
                </c:pt>
                <c:pt idx="65">
                  <c:v>375.73625039046686</c:v>
                </c:pt>
                <c:pt idx="66">
                  <c:v>377.38795929059677</c:v>
                </c:pt>
                <c:pt idx="67">
                  <c:v>372.95028472322656</c:v>
                </c:pt>
                <c:pt idx="68">
                  <c:v>372.75089914709713</c:v>
                </c:pt>
                <c:pt idx="69">
                  <c:v>372.14444278362851</c:v>
                </c:pt>
                <c:pt idx="70">
                  <c:v>373.58707159717096</c:v>
                </c:pt>
                <c:pt idx="71">
                  <c:v>372.37173487133094</c:v>
                </c:pt>
                <c:pt idx="72">
                  <c:v>371.05236129851028</c:v>
                </c:pt>
                <c:pt idx="73">
                  <c:v>373.52869608194959</c:v>
                </c:pt>
                <c:pt idx="74">
                  <c:v>373.00700987272143</c:v>
                </c:pt>
                <c:pt idx="75">
                  <c:v>373.70429907659127</c:v>
                </c:pt>
                <c:pt idx="76">
                  <c:v>376.00681577362127</c:v>
                </c:pt>
                <c:pt idx="77">
                  <c:v>378.70340368937002</c:v>
                </c:pt>
                <c:pt idx="78">
                  <c:v>377.60419007469426</c:v>
                </c:pt>
                <c:pt idx="79">
                  <c:v>378.83182065382681</c:v>
                </c:pt>
                <c:pt idx="80">
                  <c:v>377.76602372862089</c:v>
                </c:pt>
                <c:pt idx="81">
                  <c:v>380.09935550173714</c:v>
                </c:pt>
                <c:pt idx="82">
                  <c:v>380.23214214872479</c:v>
                </c:pt>
                <c:pt idx="83">
                  <c:v>383.2722713154605</c:v>
                </c:pt>
                <c:pt idx="84">
                  <c:v>383.62933753251986</c:v>
                </c:pt>
                <c:pt idx="85">
                  <c:v>381.70110876709577</c:v>
                </c:pt>
                <c:pt idx="86">
                  <c:v>382.90447216581032</c:v>
                </c:pt>
                <c:pt idx="87">
                  <c:v>385.66744253412304</c:v>
                </c:pt>
                <c:pt idx="88">
                  <c:v>385.18463788264347</c:v>
                </c:pt>
                <c:pt idx="89">
                  <c:v>387.61958320330962</c:v>
                </c:pt>
                <c:pt idx="90">
                  <c:v>387.55763011636179</c:v>
                </c:pt>
                <c:pt idx="91">
                  <c:v>387.00703173986142</c:v>
                </c:pt>
                <c:pt idx="92">
                  <c:v>386.87043107073629</c:v>
                </c:pt>
                <c:pt idx="93">
                  <c:v>386.97692623759161</c:v>
                </c:pt>
                <c:pt idx="94">
                  <c:v>387.15793915633992</c:v>
                </c:pt>
                <c:pt idx="95">
                  <c:v>388.07792142562658</c:v>
                </c:pt>
                <c:pt idx="96">
                  <c:v>389.14138678309882</c:v>
                </c:pt>
                <c:pt idx="97">
                  <c:v>389.88334993412531</c:v>
                </c:pt>
                <c:pt idx="98">
                  <c:v>391.18473439802415</c:v>
                </c:pt>
                <c:pt idx="99">
                  <c:v>390.85422257519753</c:v>
                </c:pt>
                <c:pt idx="100">
                  <c:v>390.15995411092234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2D-48E6-B354-E471BA087E5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GBM!$K$63:$DG$63</c:f>
              <c:numCache>
                <c:formatCode>General</c:formatCode>
                <c:ptCount val="101"/>
                <c:pt idx="0">
                  <c:v>333.01998901367188</c:v>
                </c:pt>
                <c:pt idx="1">
                  <c:v>330.86392030547859</c:v>
                </c:pt>
                <c:pt idx="2">
                  <c:v>325.345660074965</c:v>
                </c:pt>
                <c:pt idx="3">
                  <c:v>325.20918662517573</c:v>
                </c:pt>
                <c:pt idx="4">
                  <c:v>322.79861577431222</c:v>
                </c:pt>
                <c:pt idx="5">
                  <c:v>322.85066831336849</c:v>
                </c:pt>
                <c:pt idx="6">
                  <c:v>321.3782407008419</c:v>
                </c:pt>
                <c:pt idx="7">
                  <c:v>321.04039424081355</c:v>
                </c:pt>
                <c:pt idx="8">
                  <c:v>322.76971333437632</c:v>
                </c:pt>
                <c:pt idx="9">
                  <c:v>323.45879769405434</c:v>
                </c:pt>
                <c:pt idx="10">
                  <c:v>320.09766772416992</c:v>
                </c:pt>
                <c:pt idx="11">
                  <c:v>320.07342712760953</c:v>
                </c:pt>
                <c:pt idx="12">
                  <c:v>318.44208015817725</c:v>
                </c:pt>
                <c:pt idx="13">
                  <c:v>316.96779765849374</c:v>
                </c:pt>
                <c:pt idx="14">
                  <c:v>316.43189845650397</c:v>
                </c:pt>
                <c:pt idx="15">
                  <c:v>318.55287314271374</c:v>
                </c:pt>
                <c:pt idx="16">
                  <c:v>317.27172461599577</c:v>
                </c:pt>
                <c:pt idx="17">
                  <c:v>315.93005312021501</c:v>
                </c:pt>
                <c:pt idx="18">
                  <c:v>315.33511632313719</c:v>
                </c:pt>
                <c:pt idx="19">
                  <c:v>315.02551579916513</c:v>
                </c:pt>
                <c:pt idx="20">
                  <c:v>314.39599088807955</c:v>
                </c:pt>
                <c:pt idx="21">
                  <c:v>313.26266743129918</c:v>
                </c:pt>
                <c:pt idx="22">
                  <c:v>312.69524927983844</c:v>
                </c:pt>
                <c:pt idx="23">
                  <c:v>311.29276771674989</c:v>
                </c:pt>
                <c:pt idx="24">
                  <c:v>309.44592728639805</c:v>
                </c:pt>
                <c:pt idx="25">
                  <c:v>309.94339402241417</c:v>
                </c:pt>
                <c:pt idx="26">
                  <c:v>310.90576224668132</c:v>
                </c:pt>
                <c:pt idx="27">
                  <c:v>310.69087913947556</c:v>
                </c:pt>
                <c:pt idx="28">
                  <c:v>311.5381258709113</c:v>
                </c:pt>
                <c:pt idx="29">
                  <c:v>312.38571378479298</c:v>
                </c:pt>
                <c:pt idx="30">
                  <c:v>311.95614149443662</c:v>
                </c:pt>
                <c:pt idx="31">
                  <c:v>313.24481354387729</c:v>
                </c:pt>
                <c:pt idx="32">
                  <c:v>312.93604789388951</c:v>
                </c:pt>
                <c:pt idx="33">
                  <c:v>313.28445363087485</c:v>
                </c:pt>
                <c:pt idx="34">
                  <c:v>316.70736469388532</c:v>
                </c:pt>
                <c:pt idx="35">
                  <c:v>316.95428575842271</c:v>
                </c:pt>
                <c:pt idx="36">
                  <c:v>315.53460328967623</c:v>
                </c:pt>
                <c:pt idx="37">
                  <c:v>316.48644255209257</c:v>
                </c:pt>
                <c:pt idx="38">
                  <c:v>315.80289431322501</c:v>
                </c:pt>
                <c:pt idx="39">
                  <c:v>315.58108392145448</c:v>
                </c:pt>
                <c:pt idx="40">
                  <c:v>314.56184732493159</c:v>
                </c:pt>
                <c:pt idx="41">
                  <c:v>314.96326306280793</c:v>
                </c:pt>
                <c:pt idx="42">
                  <c:v>316.80314275467532</c:v>
                </c:pt>
                <c:pt idx="43">
                  <c:v>319.14991580829189</c:v>
                </c:pt>
                <c:pt idx="44">
                  <c:v>317.97092402019553</c:v>
                </c:pt>
                <c:pt idx="45">
                  <c:v>319.84185169998244</c:v>
                </c:pt>
                <c:pt idx="46">
                  <c:v>319.5193842931634</c:v>
                </c:pt>
                <c:pt idx="47">
                  <c:v>317.52680660899506</c:v>
                </c:pt>
                <c:pt idx="48">
                  <c:v>319.42321630850984</c:v>
                </c:pt>
                <c:pt idx="49">
                  <c:v>321.60208445869546</c:v>
                </c:pt>
                <c:pt idx="50">
                  <c:v>320.00667307133745</c:v>
                </c:pt>
                <c:pt idx="51">
                  <c:v>318.49845456266695</c:v>
                </c:pt>
                <c:pt idx="52">
                  <c:v>319.28597844931272</c:v>
                </c:pt>
                <c:pt idx="53">
                  <c:v>322.10505145868291</c:v>
                </c:pt>
                <c:pt idx="54">
                  <c:v>318.72038253537409</c:v>
                </c:pt>
                <c:pt idx="55">
                  <c:v>318.04968960127104</c:v>
                </c:pt>
                <c:pt idx="56">
                  <c:v>318.64085579669705</c:v>
                </c:pt>
                <c:pt idx="57">
                  <c:v>315.32270536080341</c:v>
                </c:pt>
                <c:pt idx="58">
                  <c:v>316.8595696119142</c:v>
                </c:pt>
                <c:pt idx="59">
                  <c:v>317.0384655694553</c:v>
                </c:pt>
                <c:pt idx="60">
                  <c:v>315.87192046400583</c:v>
                </c:pt>
                <c:pt idx="61">
                  <c:v>314.37363478910862</c:v>
                </c:pt>
                <c:pt idx="62">
                  <c:v>312.99524301382058</c:v>
                </c:pt>
                <c:pt idx="63">
                  <c:v>311.45743383752654</c:v>
                </c:pt>
                <c:pt idx="64">
                  <c:v>311.07337637625568</c:v>
                </c:pt>
                <c:pt idx="65">
                  <c:v>311.1424488838058</c:v>
                </c:pt>
                <c:pt idx="66">
                  <c:v>310.77374314104213</c:v>
                </c:pt>
                <c:pt idx="67">
                  <c:v>313.53652982721758</c:v>
                </c:pt>
                <c:pt idx="68">
                  <c:v>313.3120658491971</c:v>
                </c:pt>
                <c:pt idx="69">
                  <c:v>312.40504969269386</c:v>
                </c:pt>
                <c:pt idx="70">
                  <c:v>310.7495592315463</c:v>
                </c:pt>
                <c:pt idx="71">
                  <c:v>312.00386564572824</c:v>
                </c:pt>
                <c:pt idx="72">
                  <c:v>313.62412038739603</c:v>
                </c:pt>
                <c:pt idx="73">
                  <c:v>310.46087554281627</c:v>
                </c:pt>
                <c:pt idx="74">
                  <c:v>311.1209450981442</c:v>
                </c:pt>
                <c:pt idx="75">
                  <c:v>310.91706019806941</c:v>
                </c:pt>
                <c:pt idx="76">
                  <c:v>310.12736731826851</c:v>
                </c:pt>
                <c:pt idx="77">
                  <c:v>307.37189564097696</c:v>
                </c:pt>
                <c:pt idx="78">
                  <c:v>308.06713335321768</c:v>
                </c:pt>
                <c:pt idx="79">
                  <c:v>306.06024809697482</c:v>
                </c:pt>
                <c:pt idx="80">
                  <c:v>307.34310180280818</c:v>
                </c:pt>
                <c:pt idx="81">
                  <c:v>304.00120409102749</c:v>
                </c:pt>
                <c:pt idx="82">
                  <c:v>305.5089275988534</c:v>
                </c:pt>
                <c:pt idx="83">
                  <c:v>303.3428233106136</c:v>
                </c:pt>
                <c:pt idx="84">
                  <c:v>302.35242834070954</c:v>
                </c:pt>
                <c:pt idx="85">
                  <c:v>302.48130078830491</c:v>
                </c:pt>
                <c:pt idx="86">
                  <c:v>303.64179573011057</c:v>
                </c:pt>
                <c:pt idx="87">
                  <c:v>301.98554121759634</c:v>
                </c:pt>
                <c:pt idx="88">
                  <c:v>304.61578521707537</c:v>
                </c:pt>
                <c:pt idx="89">
                  <c:v>305.74113981601772</c:v>
                </c:pt>
                <c:pt idx="90">
                  <c:v>305.38126348844867</c:v>
                </c:pt>
                <c:pt idx="91">
                  <c:v>304.06262305085511</c:v>
                </c:pt>
                <c:pt idx="92">
                  <c:v>304.08839935956593</c:v>
                </c:pt>
                <c:pt idx="93">
                  <c:v>304.54031278686369</c:v>
                </c:pt>
                <c:pt idx="94">
                  <c:v>304.72312182536007</c:v>
                </c:pt>
                <c:pt idx="95">
                  <c:v>303.47735876864436</c:v>
                </c:pt>
                <c:pt idx="96">
                  <c:v>303.76973265735978</c:v>
                </c:pt>
                <c:pt idx="97">
                  <c:v>300.83491835338947</c:v>
                </c:pt>
                <c:pt idx="98">
                  <c:v>299.67674868228983</c:v>
                </c:pt>
                <c:pt idx="99">
                  <c:v>301.56021867800274</c:v>
                </c:pt>
                <c:pt idx="100">
                  <c:v>301.49778121018738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2D-48E6-B354-E471BA087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3836623"/>
        <c:axId val="1933840943"/>
      </c:lineChart>
      <c:catAx>
        <c:axId val="193383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3840943"/>
        <c:crosses val="autoZero"/>
        <c:auto val="1"/>
        <c:lblAlgn val="ctr"/>
        <c:lblOffset val="100"/>
        <c:noMultiLvlLbl val="0"/>
      </c:catAx>
      <c:valAx>
        <c:axId val="1933840943"/>
        <c:scaling>
          <c:orientation val="minMax"/>
          <c:min val="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3383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GBM!$J$69:$J$251</c:f>
              <c:numCache>
                <c:formatCode>General</c:formatCode>
                <c:ptCount val="183"/>
                <c:pt idx="0">
                  <c:v>258.33682250976563</c:v>
                </c:pt>
                <c:pt idx="1">
                  <c:v>258.66592407226563</c:v>
                </c:pt>
                <c:pt idx="2">
                  <c:v>259.54351806640619</c:v>
                </c:pt>
                <c:pt idx="3">
                  <c:v>260.34133911132813</c:v>
                </c:pt>
                <c:pt idx="4">
                  <c:v>259.25433349609381</c:v>
                </c:pt>
                <c:pt idx="5">
                  <c:v>257.50906372070313</c:v>
                </c:pt>
                <c:pt idx="6">
                  <c:v>254.83634948730469</c:v>
                </c:pt>
                <c:pt idx="7">
                  <c:v>246.03031921386719</c:v>
                </c:pt>
                <c:pt idx="8">
                  <c:v>246.9777526855469</c:v>
                </c:pt>
                <c:pt idx="9">
                  <c:v>247.67584228515619</c:v>
                </c:pt>
                <c:pt idx="10">
                  <c:v>247.36668395996091</c:v>
                </c:pt>
                <c:pt idx="11">
                  <c:v>254.7166748046875</c:v>
                </c:pt>
                <c:pt idx="12">
                  <c:v>257.56887817382813</c:v>
                </c:pt>
                <c:pt idx="13">
                  <c:v>255.743896484375</c:v>
                </c:pt>
                <c:pt idx="14">
                  <c:v>257.57888793945313</c:v>
                </c:pt>
                <c:pt idx="15">
                  <c:v>258.775634765625</c:v>
                </c:pt>
                <c:pt idx="16">
                  <c:v>269.27706909179688</c:v>
                </c:pt>
                <c:pt idx="17">
                  <c:v>268.74850463867188</c:v>
                </c:pt>
                <c:pt idx="18">
                  <c:v>275.73941040039063</c:v>
                </c:pt>
                <c:pt idx="19">
                  <c:v>275.16104125976563</c:v>
                </c:pt>
                <c:pt idx="20">
                  <c:v>277.364990234375</c:v>
                </c:pt>
                <c:pt idx="21">
                  <c:v>274.13079833984381</c:v>
                </c:pt>
                <c:pt idx="22">
                  <c:v>273.19244384765619</c:v>
                </c:pt>
                <c:pt idx="23">
                  <c:v>275.00921630859381</c:v>
                </c:pt>
                <c:pt idx="24">
                  <c:v>261.26376342773438</c:v>
                </c:pt>
                <c:pt idx="25">
                  <c:v>255.32435607910159</c:v>
                </c:pt>
                <c:pt idx="26">
                  <c:v>263.40994262695313</c:v>
                </c:pt>
                <c:pt idx="27">
                  <c:v>263.87911987304688</c:v>
                </c:pt>
                <c:pt idx="28">
                  <c:v>260.11578369140619</c:v>
                </c:pt>
                <c:pt idx="29">
                  <c:v>264.10867309570313</c:v>
                </c:pt>
                <c:pt idx="30">
                  <c:v>265.705810546875</c:v>
                </c:pt>
                <c:pt idx="31">
                  <c:v>271.65524291992188</c:v>
                </c:pt>
                <c:pt idx="32">
                  <c:v>273.74151611328119</c:v>
                </c:pt>
                <c:pt idx="33">
                  <c:v>272.46377563476563</c:v>
                </c:pt>
                <c:pt idx="34">
                  <c:v>263.70941162109381</c:v>
                </c:pt>
                <c:pt idx="35">
                  <c:v>264.2484130859375</c:v>
                </c:pt>
                <c:pt idx="36">
                  <c:v>263.28018188476563</c:v>
                </c:pt>
                <c:pt idx="37">
                  <c:v>262.05233764648438</c:v>
                </c:pt>
                <c:pt idx="38">
                  <c:v>259.82632446289063</c:v>
                </c:pt>
                <c:pt idx="39">
                  <c:v>257.0013427734375</c:v>
                </c:pt>
                <c:pt idx="40">
                  <c:v>259.41705322265619</c:v>
                </c:pt>
                <c:pt idx="41">
                  <c:v>260.3653564453125</c:v>
                </c:pt>
                <c:pt idx="42">
                  <c:v>260.34539794921881</c:v>
                </c:pt>
                <c:pt idx="43">
                  <c:v>255.30439758300781</c:v>
                </c:pt>
                <c:pt idx="44">
                  <c:v>249.6744384765625</c:v>
                </c:pt>
                <c:pt idx="45">
                  <c:v>252.36964416503909</c:v>
                </c:pt>
                <c:pt idx="46">
                  <c:v>253.77711486816409</c:v>
                </c:pt>
                <c:pt idx="47">
                  <c:v>249.49476623535159</c:v>
                </c:pt>
                <c:pt idx="48">
                  <c:v>248.51652526855469</c:v>
                </c:pt>
                <c:pt idx="49">
                  <c:v>247.54823303222659</c:v>
                </c:pt>
                <c:pt idx="50">
                  <c:v>251.04200744628909</c:v>
                </c:pt>
                <c:pt idx="51">
                  <c:v>251.19172668457031</c:v>
                </c:pt>
                <c:pt idx="52">
                  <c:v>252.16998291015619</c:v>
                </c:pt>
                <c:pt idx="53">
                  <c:v>252.43951416015619</c:v>
                </c:pt>
                <c:pt idx="54">
                  <c:v>248.35679626464841</c:v>
                </c:pt>
                <c:pt idx="55">
                  <c:v>246.19065856933591</c:v>
                </c:pt>
                <c:pt idx="56">
                  <c:v>253.33790588378909</c:v>
                </c:pt>
                <c:pt idx="57">
                  <c:v>255.17463684082031</c:v>
                </c:pt>
                <c:pt idx="58">
                  <c:v>255.464111328125</c:v>
                </c:pt>
                <c:pt idx="59">
                  <c:v>258.39886474609381</c:v>
                </c:pt>
                <c:pt idx="60">
                  <c:v>253.04841613769531</c:v>
                </c:pt>
                <c:pt idx="61">
                  <c:v>258.43881225585938</c:v>
                </c:pt>
                <c:pt idx="62">
                  <c:v>260.02597045898438</c:v>
                </c:pt>
                <c:pt idx="63">
                  <c:v>260.0159912109375</c:v>
                </c:pt>
                <c:pt idx="64">
                  <c:v>258.73828125</c:v>
                </c:pt>
                <c:pt idx="65">
                  <c:v>258.36892700195313</c:v>
                </c:pt>
                <c:pt idx="66">
                  <c:v>265.95538330078119</c:v>
                </c:pt>
                <c:pt idx="67">
                  <c:v>262.9307861328125</c:v>
                </c:pt>
                <c:pt idx="68">
                  <c:v>269.74862670898438</c:v>
                </c:pt>
                <c:pt idx="69">
                  <c:v>272.56356811523438</c:v>
                </c:pt>
                <c:pt idx="70">
                  <c:v>265.69586181640619</c:v>
                </c:pt>
                <c:pt idx="71">
                  <c:v>272.68341064453119</c:v>
                </c:pt>
                <c:pt idx="72">
                  <c:v>272.94290161132813</c:v>
                </c:pt>
                <c:pt idx="73">
                  <c:v>270.57711791992188</c:v>
                </c:pt>
                <c:pt idx="74">
                  <c:v>267.13327026367188</c:v>
                </c:pt>
                <c:pt idx="75">
                  <c:v>270.22775268554688</c:v>
                </c:pt>
                <c:pt idx="76">
                  <c:v>269.688720703125</c:v>
                </c:pt>
                <c:pt idx="77">
                  <c:v>270.86663818359381</c:v>
                </c:pt>
                <c:pt idx="78">
                  <c:v>279.6409912109375</c:v>
                </c:pt>
                <c:pt idx="79">
                  <c:v>276.33682250976563</c:v>
                </c:pt>
                <c:pt idx="80">
                  <c:v>283.67376708984381</c:v>
                </c:pt>
                <c:pt idx="81">
                  <c:v>286.99786376953119</c:v>
                </c:pt>
                <c:pt idx="82">
                  <c:v>286.927978515625</c:v>
                </c:pt>
                <c:pt idx="83">
                  <c:v>292.7974853515625</c:v>
                </c:pt>
                <c:pt idx="84">
                  <c:v>292.42779541015619</c:v>
                </c:pt>
                <c:pt idx="85">
                  <c:v>294.54595947265619</c:v>
                </c:pt>
                <c:pt idx="86">
                  <c:v>298.61245727539063</c:v>
                </c:pt>
                <c:pt idx="87">
                  <c:v>297.95303344726563</c:v>
                </c:pt>
                <c:pt idx="88">
                  <c:v>299.9713134765625</c:v>
                </c:pt>
                <c:pt idx="89">
                  <c:v>297.58334350585938</c:v>
                </c:pt>
                <c:pt idx="90">
                  <c:v>298.71237182617188</c:v>
                </c:pt>
                <c:pt idx="91">
                  <c:v>301.98956298828119</c:v>
                </c:pt>
                <c:pt idx="92">
                  <c:v>304.7271728515625</c:v>
                </c:pt>
                <c:pt idx="93">
                  <c:v>308.55389404296881</c:v>
                </c:pt>
                <c:pt idx="94">
                  <c:v>308.06430053710938</c:v>
                </c:pt>
                <c:pt idx="95">
                  <c:v>310.5821533203125</c:v>
                </c:pt>
                <c:pt idx="96">
                  <c:v>312.24072265625</c:v>
                </c:pt>
                <c:pt idx="97">
                  <c:v>311.79110717773438</c:v>
                </c:pt>
                <c:pt idx="98">
                  <c:v>306.04605102539063</c:v>
                </c:pt>
                <c:pt idx="99">
                  <c:v>314.92840576171881</c:v>
                </c:pt>
                <c:pt idx="100">
                  <c:v>309.99264526367188</c:v>
                </c:pt>
                <c:pt idx="101">
                  <c:v>310.96182250976563</c:v>
                </c:pt>
                <c:pt idx="102">
                  <c:v>307.07516479492188</c:v>
                </c:pt>
                <c:pt idx="103">
                  <c:v>301.28018188476563</c:v>
                </c:pt>
                <c:pt idx="104">
                  <c:v>290.29962158203119</c:v>
                </c:pt>
                <c:pt idx="105">
                  <c:v>291.3287353515625</c:v>
                </c:pt>
                <c:pt idx="106">
                  <c:v>295.375244140625</c:v>
                </c:pt>
                <c:pt idx="107">
                  <c:v>290.879150390625</c:v>
                </c:pt>
                <c:pt idx="108">
                  <c:v>296.16458129882813</c:v>
                </c:pt>
                <c:pt idx="109">
                  <c:v>298.98214721679688</c:v>
                </c:pt>
                <c:pt idx="110">
                  <c:v>295.69497680664063</c:v>
                </c:pt>
                <c:pt idx="111">
                  <c:v>297.75320434570313</c:v>
                </c:pt>
                <c:pt idx="112">
                  <c:v>296.75408935546881</c:v>
                </c:pt>
                <c:pt idx="113">
                  <c:v>294.04638671875</c:v>
                </c:pt>
                <c:pt idx="114">
                  <c:v>292.82742309570313</c:v>
                </c:pt>
                <c:pt idx="115">
                  <c:v>274.91290283203119</c:v>
                </c:pt>
                <c:pt idx="116">
                  <c:v>283.53546142578119</c:v>
                </c:pt>
                <c:pt idx="117">
                  <c:v>281.49722290039063</c:v>
                </c:pt>
                <c:pt idx="118">
                  <c:v>289.11065673828119</c:v>
                </c:pt>
                <c:pt idx="119">
                  <c:v>294.1263427734375</c:v>
                </c:pt>
                <c:pt idx="120">
                  <c:v>308.36404418945313</c:v>
                </c:pt>
                <c:pt idx="121">
                  <c:v>312.39059448242188</c:v>
                </c:pt>
                <c:pt idx="122">
                  <c:v>310.39230346679688</c:v>
                </c:pt>
                <c:pt idx="123">
                  <c:v>313.11996459960938</c:v>
                </c:pt>
                <c:pt idx="124">
                  <c:v>315.947509765625</c:v>
                </c:pt>
                <c:pt idx="125">
                  <c:v>315.04830932617188</c:v>
                </c:pt>
                <c:pt idx="126">
                  <c:v>317.03656005859381</c:v>
                </c:pt>
                <c:pt idx="127">
                  <c:v>314.58868408203119</c:v>
                </c:pt>
                <c:pt idx="128">
                  <c:v>327.21780395507813</c:v>
                </c:pt>
                <c:pt idx="129">
                  <c:v>332.97283935546881</c:v>
                </c:pt>
                <c:pt idx="130">
                  <c:v>333.452392578125</c:v>
                </c:pt>
                <c:pt idx="131">
                  <c:v>326.30856323242188</c:v>
                </c:pt>
                <c:pt idx="132">
                  <c:v>327.45758056640619</c:v>
                </c:pt>
                <c:pt idx="133">
                  <c:v>325.60919189453119</c:v>
                </c:pt>
                <c:pt idx="134">
                  <c:v>321.38284301757813</c:v>
                </c:pt>
                <c:pt idx="135">
                  <c:v>332.7330322265625</c:v>
                </c:pt>
                <c:pt idx="136">
                  <c:v>336.61968994140619</c:v>
                </c:pt>
                <c:pt idx="137">
                  <c:v>339.78692626953119</c:v>
                </c:pt>
                <c:pt idx="138">
                  <c:v>337.89859008789063</c:v>
                </c:pt>
                <c:pt idx="139">
                  <c:v>333.14266967773438</c:v>
                </c:pt>
                <c:pt idx="140">
                  <c:v>308.64382934570313</c:v>
                </c:pt>
                <c:pt idx="141">
                  <c:v>303.1585693359375</c:v>
                </c:pt>
                <c:pt idx="142">
                  <c:v>309.1134033203125</c:v>
                </c:pt>
                <c:pt idx="143">
                  <c:v>310.73202514648438</c:v>
                </c:pt>
                <c:pt idx="144">
                  <c:v>312.14080810546881</c:v>
                </c:pt>
                <c:pt idx="145">
                  <c:v>313.05999755859381</c:v>
                </c:pt>
                <c:pt idx="146">
                  <c:v>308.260009765625</c:v>
                </c:pt>
                <c:pt idx="147">
                  <c:v>304.91000366210938</c:v>
                </c:pt>
                <c:pt idx="148">
                  <c:v>302.25</c:v>
                </c:pt>
                <c:pt idx="149">
                  <c:v>305.260009765625</c:v>
                </c:pt>
                <c:pt idx="150">
                  <c:v>305.92999267578119</c:v>
                </c:pt>
                <c:pt idx="151">
                  <c:v>305.58999633789063</c:v>
                </c:pt>
                <c:pt idx="152">
                  <c:v>310.02999877929688</c:v>
                </c:pt>
                <c:pt idx="153">
                  <c:v>316.82998657226563</c:v>
                </c:pt>
                <c:pt idx="154">
                  <c:v>311.29998779296881</c:v>
                </c:pt>
                <c:pt idx="155">
                  <c:v>309.35000610351563</c:v>
                </c:pt>
                <c:pt idx="156">
                  <c:v>310.33999633789063</c:v>
                </c:pt>
                <c:pt idx="157">
                  <c:v>309.89999389648438</c:v>
                </c:pt>
                <c:pt idx="158">
                  <c:v>313.45001220703119</c:v>
                </c:pt>
                <c:pt idx="159">
                  <c:v>314.57998657226563</c:v>
                </c:pt>
                <c:pt idx="160">
                  <c:v>319.70001220703119</c:v>
                </c:pt>
                <c:pt idx="161">
                  <c:v>316.85000610351563</c:v>
                </c:pt>
                <c:pt idx="162">
                  <c:v>325.1300048828125</c:v>
                </c:pt>
                <c:pt idx="163">
                  <c:v>324.95999145507813</c:v>
                </c:pt>
                <c:pt idx="164">
                  <c:v>328.20999145507813</c:v>
                </c:pt>
                <c:pt idx="165">
                  <c:v>319.97000122070313</c:v>
                </c:pt>
                <c:pt idx="166">
                  <c:v>316.22000122070313</c:v>
                </c:pt>
                <c:pt idx="167">
                  <c:v>315.33999633789063</c:v>
                </c:pt>
                <c:pt idx="168">
                  <c:v>326.57000732421881</c:v>
                </c:pt>
                <c:pt idx="169">
                  <c:v>332.26998901367188</c:v>
                </c:pt>
                <c:pt idx="170">
                  <c:v>333.07998657226563</c:v>
                </c:pt>
                <c:pt idx="171">
                  <c:v>331.33999633789063</c:v>
                </c:pt>
                <c:pt idx="172">
                  <c:v>332.41000366210938</c:v>
                </c:pt>
                <c:pt idx="173">
                  <c:v>337</c:v>
                </c:pt>
                <c:pt idx="174">
                  <c:v>336.1300048828125</c:v>
                </c:pt>
                <c:pt idx="175">
                  <c:v>338.98001098632813</c:v>
                </c:pt>
                <c:pt idx="176">
                  <c:v>339.75</c:v>
                </c:pt>
                <c:pt idx="177">
                  <c:v>337.01998901367188</c:v>
                </c:pt>
                <c:pt idx="178">
                  <c:v>335.92001342773438</c:v>
                </c:pt>
                <c:pt idx="179">
                  <c:v>341.07000732421881</c:v>
                </c:pt>
                <c:pt idx="180">
                  <c:v>338.39999389648438</c:v>
                </c:pt>
                <c:pt idx="181">
                  <c:v>329.39999389648438</c:v>
                </c:pt>
                <c:pt idx="182">
                  <c:v>333.01998901367188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2D-433E-8531-EB9BAF0AB2A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GBM!$K$69:$K$251</c:f>
              <c:numCache>
                <c:formatCode>General</c:formatCode>
                <c:ptCount val="183"/>
                <c:pt idx="0">
                  <c:v>259.52504567561709</c:v>
                </c:pt>
                <c:pt idx="1">
                  <c:v>258.23906398869929</c:v>
                </c:pt>
                <c:pt idx="2">
                  <c:v>258.5680410142412</c:v>
                </c:pt>
                <c:pt idx="3">
                  <c:v>259.44530291367641</c:v>
                </c:pt>
                <c:pt idx="4">
                  <c:v>260.24282205117117</c:v>
                </c:pt>
                <c:pt idx="5">
                  <c:v>259.15622777513465</c:v>
                </c:pt>
                <c:pt idx="6">
                  <c:v>257.41161843595455</c:v>
                </c:pt>
                <c:pt idx="7">
                  <c:v>254.7399155976338</c:v>
                </c:pt>
                <c:pt idx="8">
                  <c:v>245.9372176578824</c:v>
                </c:pt>
                <c:pt idx="9">
                  <c:v>246.88429260655289</c:v>
                </c:pt>
                <c:pt idx="10">
                  <c:v>247.58211803860689</c:v>
                </c:pt>
                <c:pt idx="11">
                  <c:v>247.27307670355012</c:v>
                </c:pt>
                <c:pt idx="12">
                  <c:v>254.62028620170818</c:v>
                </c:pt>
                <c:pt idx="13">
                  <c:v>257.47141025439498</c:v>
                </c:pt>
                <c:pt idx="14">
                  <c:v>255.64711916533406</c:v>
                </c:pt>
                <c:pt idx="15">
                  <c:v>257.48141623217487</c:v>
                </c:pt>
                <c:pt idx="16">
                  <c:v>258.67771019143186</c:v>
                </c:pt>
                <c:pt idx="17">
                  <c:v>269.175170617643</c:v>
                </c:pt>
                <c:pt idx="18">
                  <c:v>268.64680618122003</c:v>
                </c:pt>
                <c:pt idx="19">
                  <c:v>275.63506647954119</c:v>
                </c:pt>
                <c:pt idx="20">
                  <c:v>275.0569162024575</c:v>
                </c:pt>
                <c:pt idx="21">
                  <c:v>277.26003116978069</c:v>
                </c:pt>
                <c:pt idx="22">
                  <c:v>274.02706314187986</c:v>
                </c:pt>
                <c:pt idx="23">
                  <c:v>273.08906373707964</c:v>
                </c:pt>
                <c:pt idx="24">
                  <c:v>274.90514870412011</c:v>
                </c:pt>
                <c:pt idx="25">
                  <c:v>261.16489730840692</c:v>
                </c:pt>
                <c:pt idx="26">
                  <c:v>255.22773752043071</c:v>
                </c:pt>
                <c:pt idx="27">
                  <c:v>263.31026436128735</c:v>
                </c:pt>
                <c:pt idx="28">
                  <c:v>263.77926406368738</c:v>
                </c:pt>
                <c:pt idx="29">
                  <c:v>260.01735198479679</c:v>
                </c:pt>
                <c:pt idx="30">
                  <c:v>264.00873041996766</c:v>
                </c:pt>
                <c:pt idx="31">
                  <c:v>265.60526349041811</c:v>
                </c:pt>
                <c:pt idx="32">
                  <c:v>271.55244450918906</c:v>
                </c:pt>
                <c:pt idx="33">
                  <c:v>273.63792822553944</c:v>
                </c:pt>
                <c:pt idx="34">
                  <c:v>272.36067126314941</c:v>
                </c:pt>
                <c:pt idx="35">
                  <c:v>263.6096200318774</c:v>
                </c:pt>
                <c:pt idx="36">
                  <c:v>264.14841753049774</c:v>
                </c:pt>
                <c:pt idx="37">
                  <c:v>263.18055272250729</c:v>
                </c:pt>
                <c:pt idx="38">
                  <c:v>261.95317311886731</c:v>
                </c:pt>
                <c:pt idx="39">
                  <c:v>259.72800229198663</c:v>
                </c:pt>
                <c:pt idx="40">
                  <c:v>256.90408961789615</c:v>
                </c:pt>
                <c:pt idx="41">
                  <c:v>259.31888592611648</c:v>
                </c:pt>
                <c:pt idx="42">
                  <c:v>260.26683029663684</c:v>
                </c:pt>
                <c:pt idx="43">
                  <c:v>260.24687935313682</c:v>
                </c:pt>
                <c:pt idx="44">
                  <c:v>255.20778657693063</c:v>
                </c:pt>
                <c:pt idx="45">
                  <c:v>249.57995793129444</c:v>
                </c:pt>
                <c:pt idx="46">
                  <c:v>252.27414371359001</c:v>
                </c:pt>
                <c:pt idx="47">
                  <c:v>253.68108180873037</c:v>
                </c:pt>
                <c:pt idx="48">
                  <c:v>249.40035368074942</c:v>
                </c:pt>
                <c:pt idx="49">
                  <c:v>248.42248289497911</c:v>
                </c:pt>
                <c:pt idx="50">
                  <c:v>247.45455707492903</c:v>
                </c:pt>
                <c:pt idx="51">
                  <c:v>250.94700939244976</c:v>
                </c:pt>
                <c:pt idx="52">
                  <c:v>251.09667197472982</c:v>
                </c:pt>
                <c:pt idx="53">
                  <c:v>252.07455801351495</c:v>
                </c:pt>
                <c:pt idx="54">
                  <c:v>252.34398726885493</c:v>
                </c:pt>
                <c:pt idx="55">
                  <c:v>248.26281433491909</c:v>
                </c:pt>
                <c:pt idx="56">
                  <c:v>246.09749633853863</c:v>
                </c:pt>
                <c:pt idx="57">
                  <c:v>253.24203902761028</c:v>
                </c:pt>
                <c:pt idx="58">
                  <c:v>255.07807493815056</c:v>
                </c:pt>
                <c:pt idx="59">
                  <c:v>255.36743988397566</c:v>
                </c:pt>
                <c:pt idx="60">
                  <c:v>258.30108274731646</c:v>
                </c:pt>
                <c:pt idx="61">
                  <c:v>252.95265882877021</c:v>
                </c:pt>
                <c:pt idx="62">
                  <c:v>258.34101514034626</c:v>
                </c:pt>
                <c:pt idx="63">
                  <c:v>259.9275727390467</c:v>
                </c:pt>
                <c:pt idx="64">
                  <c:v>259.91759726729669</c:v>
                </c:pt>
                <c:pt idx="65">
                  <c:v>258.64037081093636</c:v>
                </c:pt>
                <c:pt idx="66">
                  <c:v>258.27115633206631</c:v>
                </c:pt>
                <c:pt idx="67">
                  <c:v>265.85474180225793</c:v>
                </c:pt>
                <c:pt idx="68">
                  <c:v>262.83128918713726</c:v>
                </c:pt>
                <c:pt idx="69">
                  <c:v>269.64654979036874</c:v>
                </c:pt>
                <c:pt idx="70">
                  <c:v>272.46042598064957</c:v>
                </c:pt>
                <c:pt idx="71">
                  <c:v>265.5953185246978</c:v>
                </c:pt>
                <c:pt idx="72">
                  <c:v>272.58022315973921</c:v>
                </c:pt>
                <c:pt idx="73">
                  <c:v>272.83961593126958</c:v>
                </c:pt>
                <c:pt idx="74">
                  <c:v>270.47472748782911</c:v>
                </c:pt>
                <c:pt idx="75">
                  <c:v>267.03218303508839</c:v>
                </c:pt>
                <c:pt idx="76">
                  <c:v>270.1254944584889</c:v>
                </c:pt>
                <c:pt idx="77">
                  <c:v>269.58666645383886</c:v>
                </c:pt>
                <c:pt idx="78">
                  <c:v>270.76413819269897</c:v>
                </c:pt>
                <c:pt idx="79">
                  <c:v>279.53517087350082</c:v>
                </c:pt>
                <c:pt idx="80">
                  <c:v>276.23225251923043</c:v>
                </c:pt>
                <c:pt idx="81">
                  <c:v>283.56642068964186</c:v>
                </c:pt>
                <c:pt idx="82">
                  <c:v>286.88925948138234</c:v>
                </c:pt>
                <c:pt idx="83">
                  <c:v>286.81940067310245</c:v>
                </c:pt>
                <c:pt idx="84">
                  <c:v>292.68668639978387</c:v>
                </c:pt>
                <c:pt idx="85">
                  <c:v>292.31713635458578</c:v>
                </c:pt>
                <c:pt idx="86">
                  <c:v>294.43449887209465</c:v>
                </c:pt>
                <c:pt idx="87">
                  <c:v>298.49945785118297</c:v>
                </c:pt>
                <c:pt idx="88">
                  <c:v>297.84028355890644</c:v>
                </c:pt>
                <c:pt idx="89">
                  <c:v>299.85779984082558</c:v>
                </c:pt>
                <c:pt idx="90">
                  <c:v>297.47073351370847</c:v>
                </c:pt>
                <c:pt idx="91">
                  <c:v>298.59933459280251</c:v>
                </c:pt>
                <c:pt idx="92">
                  <c:v>301.87528561671485</c:v>
                </c:pt>
                <c:pt idx="93">
                  <c:v>304.61185952744052</c:v>
                </c:pt>
                <c:pt idx="94">
                  <c:v>308.43713263026018</c:v>
                </c:pt>
                <c:pt idx="95">
                  <c:v>307.94772439391278</c:v>
                </c:pt>
                <c:pt idx="96">
                  <c:v>310.46462438392928</c:v>
                </c:pt>
                <c:pt idx="97">
                  <c:v>312.12256609240046</c:v>
                </c:pt>
                <c:pt idx="98">
                  <c:v>311.6731207551129</c:v>
                </c:pt>
                <c:pt idx="99">
                  <c:v>305.93023861802351</c:v>
                </c:pt>
                <c:pt idx="100">
                  <c:v>314.8092321383462</c:v>
                </c:pt>
                <c:pt idx="101">
                  <c:v>309.87533940596256</c:v>
                </c:pt>
                <c:pt idx="102">
                  <c:v>310.84414990087731</c:v>
                </c:pt>
                <c:pt idx="103">
                  <c:v>306.95896295549795</c:v>
                </c:pt>
                <c:pt idx="104">
                  <c:v>301.16617295362869</c:v>
                </c:pt>
                <c:pt idx="105">
                  <c:v>290.18976785929715</c:v>
                </c:pt>
                <c:pt idx="106">
                  <c:v>291.21849219677176</c:v>
                </c:pt>
                <c:pt idx="107">
                  <c:v>295.2634697263303</c:v>
                </c:pt>
                <c:pt idx="108">
                  <c:v>290.76907736551397</c:v>
                </c:pt>
                <c:pt idx="109">
                  <c:v>296.05250818753592</c:v>
                </c:pt>
                <c:pt idx="110">
                  <c:v>298.86900789638099</c:v>
                </c:pt>
                <c:pt idx="111">
                  <c:v>295.58308140071847</c:v>
                </c:pt>
                <c:pt idx="112">
                  <c:v>297.64053007566758</c:v>
                </c:pt>
                <c:pt idx="113">
                  <c:v>296.64179316550275</c:v>
                </c:pt>
                <c:pt idx="114">
                  <c:v>293.9351151639973</c:v>
                </c:pt>
                <c:pt idx="115">
                  <c:v>292.7166128150339</c:v>
                </c:pt>
                <c:pt idx="116">
                  <c:v>274.80887167401892</c:v>
                </c:pt>
                <c:pt idx="117">
                  <c:v>283.42816736251308</c:v>
                </c:pt>
                <c:pt idx="118">
                  <c:v>281.39070013709397</c:v>
                </c:pt>
                <c:pt idx="119">
                  <c:v>289.00125293764341</c:v>
                </c:pt>
                <c:pt idx="120">
                  <c:v>294.01504096211676</c:v>
                </c:pt>
                <c:pt idx="121">
                  <c:v>308.24735461877123</c:v>
                </c:pt>
                <c:pt idx="122">
                  <c:v>312.27238120482968</c:v>
                </c:pt>
                <c:pt idx="123">
                  <c:v>310.27484637244032</c:v>
                </c:pt>
                <c:pt idx="124">
                  <c:v>313.0014753174458</c:v>
                </c:pt>
                <c:pt idx="125">
                  <c:v>315.82795049804088</c:v>
                </c:pt>
                <c:pt idx="126">
                  <c:v>314.92909032949547</c:v>
                </c:pt>
                <c:pt idx="127">
                  <c:v>316.91658867807519</c:v>
                </c:pt>
                <c:pt idx="128">
                  <c:v>314.46963901442803</c:v>
                </c:pt>
                <c:pt idx="129">
                  <c:v>327.09397983945081</c:v>
                </c:pt>
                <c:pt idx="130">
                  <c:v>332.84683744829033</c:v>
                </c:pt>
                <c:pt idx="131">
                  <c:v>333.32620920082792</c:v>
                </c:pt>
                <c:pt idx="132">
                  <c:v>326.18508318709587</c:v>
                </c:pt>
                <c:pt idx="133">
                  <c:v>327.33366571571963</c:v>
                </c:pt>
                <c:pt idx="134">
                  <c:v>325.48597650178942</c:v>
                </c:pt>
                <c:pt idx="135">
                  <c:v>321.26122693852182</c:v>
                </c:pt>
                <c:pt idx="136">
                  <c:v>332.60712106599163</c:v>
                </c:pt>
                <c:pt idx="137">
                  <c:v>336.49230801137094</c:v>
                </c:pt>
                <c:pt idx="138">
                  <c:v>339.65834580985427</c:v>
                </c:pt>
                <c:pt idx="139">
                  <c:v>337.77072420289414</c:v>
                </c:pt>
                <c:pt idx="140">
                  <c:v>333.01660350421957</c:v>
                </c:pt>
                <c:pt idx="141">
                  <c:v>308.5270339001296</c:v>
                </c:pt>
                <c:pt idx="142">
                  <c:v>303.04384959486868</c:v>
                </c:pt>
                <c:pt idx="143">
                  <c:v>308.99643018091717</c:v>
                </c:pt>
                <c:pt idx="144">
                  <c:v>310.61443949635844</c:v>
                </c:pt>
                <c:pt idx="145">
                  <c:v>312.02268935078104</c:v>
                </c:pt>
                <c:pt idx="146">
                  <c:v>312.94153096885628</c:v>
                </c:pt>
                <c:pt idx="147">
                  <c:v>308.14335956312647</c:v>
                </c:pt>
                <c:pt idx="148">
                  <c:v>304.79462115207173</c:v>
                </c:pt>
                <c:pt idx="149">
                  <c:v>302.13562407516963</c:v>
                </c:pt>
                <c:pt idx="150">
                  <c:v>305.1444948080379</c:v>
                </c:pt>
                <c:pt idx="151">
                  <c:v>305.81422418663101</c:v>
                </c:pt>
                <c:pt idx="152">
                  <c:v>305.4743565084446</c:v>
                </c:pt>
                <c:pt idx="153">
                  <c:v>309.91267878645795</c:v>
                </c:pt>
                <c:pt idx="154">
                  <c:v>316.71009336224677</c:v>
                </c:pt>
                <c:pt idx="155">
                  <c:v>311.18218721727482</c:v>
                </c:pt>
                <c:pt idx="156">
                  <c:v>309.23294343008513</c:v>
                </c:pt>
                <c:pt idx="157">
                  <c:v>310.22255903733486</c:v>
                </c:pt>
                <c:pt idx="158">
                  <c:v>309.78272309943947</c:v>
                </c:pt>
                <c:pt idx="159">
                  <c:v>313.33139802991201</c:v>
                </c:pt>
                <c:pt idx="160">
                  <c:v>314.46094479593035</c:v>
                </c:pt>
                <c:pt idx="161">
                  <c:v>319.57903293634649</c:v>
                </c:pt>
                <c:pt idx="162">
                  <c:v>316.73010531780642</c:v>
                </c:pt>
                <c:pt idx="163">
                  <c:v>325.00697082160957</c:v>
                </c:pt>
                <c:pt idx="164">
                  <c:v>324.83702172950143</c:v>
                </c:pt>
                <c:pt idx="165">
                  <c:v>328.0857918808473</c:v>
                </c:pt>
                <c:pt idx="166">
                  <c:v>319.84891978213375</c:v>
                </c:pt>
                <c:pt idx="167">
                  <c:v>316.10033883827299</c:v>
                </c:pt>
                <c:pt idx="168">
                  <c:v>315.22066696248231</c:v>
                </c:pt>
                <c:pt idx="169">
                  <c:v>326.44642834453452</c:v>
                </c:pt>
                <c:pt idx="170">
                  <c:v>332.14425307558486</c:v>
                </c:pt>
                <c:pt idx="171">
                  <c:v>332.95394411897632</c:v>
                </c:pt>
                <c:pt idx="172">
                  <c:v>331.21461232295451</c:v>
                </c:pt>
                <c:pt idx="173">
                  <c:v>332.28421474038322</c:v>
                </c:pt>
                <c:pt idx="174">
                  <c:v>336.87247415494511</c:v>
                </c:pt>
                <c:pt idx="175">
                  <c:v>336.00280825693414</c:v>
                </c:pt>
                <c:pt idx="176">
                  <c:v>338.85173587547422</c:v>
                </c:pt>
                <c:pt idx="177">
                  <c:v>339.62143351377625</c:v>
                </c:pt>
                <c:pt idx="178">
                  <c:v>336.892455604475</c:v>
                </c:pt>
                <c:pt idx="179">
                  <c:v>335.79289626576639</c:v>
                </c:pt>
                <c:pt idx="180">
                  <c:v>340.94094132746244</c:v>
                </c:pt>
                <c:pt idx="181">
                  <c:v>338.27193827278046</c:v>
                </c:pt>
                <c:pt idx="182">
                  <c:v>329.27534400751495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2D-433E-8531-EB9BAF0AB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554175"/>
        <c:axId val="2559935"/>
      </c:lineChart>
      <c:catAx>
        <c:axId val="2554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559935"/>
        <c:crosses val="autoZero"/>
        <c:auto val="1"/>
        <c:lblAlgn val="ctr"/>
        <c:lblOffset val="100"/>
        <c:noMultiLvlLbl val="0"/>
      </c:catAx>
      <c:valAx>
        <c:axId val="2559935"/>
        <c:scaling>
          <c:orientation val="minMax"/>
          <c:min val="2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55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D8C11A3-01DB-4E78-BD22-7233382A7FB6}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461806A-F138-45E8-8195-4343ABED1FEB}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61C60AC-A00A-411B-ABED-474D067299EA}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57B3D62-C762-47B6-AA6C-713CE353DC26}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3B6B7AD-AC40-436E-99A4-6E69F27D7155}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856660A-8699-49CD-9CA5-C81B58D65BEF}">
  <sheetPr/>
  <sheetViews>
    <sheetView zoomScale="118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FCC35AF-4458-45DE-AEAB-FA4F6F95A3AF}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977813-3D20-ADD3-5B41-53F9578D73F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29F25E-593C-5B7F-FFC2-83D53656A83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2A0B22-49EE-3C55-8420-EA034D14C7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BC5E0F8-34BB-266E-7AEB-704C884D4B7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3E7CBD4-1849-6F66-DDF4-F2717E1AB6A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EE35FE-A1AC-20CA-9D20-6AF25A7987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733425</xdr:colOff>
      <xdr:row>1</xdr:row>
      <xdr:rowOff>85725</xdr:rowOff>
    </xdr:from>
    <xdr:ext cx="2676525" cy="20955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AF2AB919-78AD-2A5A-3644-F63DE9E76E87}"/>
                </a:ext>
              </a:extLst>
            </xdr:cNvPr>
            <xdr:cNvSpPr txBox="1"/>
          </xdr:nvSpPr>
          <xdr:spPr>
            <a:xfrm>
              <a:off x="733425" y="276225"/>
              <a:ext cx="2676525" cy="20955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</a:rPr>
                      <m:t>𝑉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𝑆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,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𝑆𝑁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𝑑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1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𝐾</m:t>
                    </m:r>
                    <m:sSup>
                      <m:sSup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𝑒</m:t>
                        </m:r>
                      </m:e>
                      <m:sup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𝑟</m:t>
                        </m:r>
                        <m:d>
                          <m:d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−</m:t>
                            </m:r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𝑡</m:t>
                            </m:r>
                          </m:e>
                        </m:d>
                      </m:sup>
                    </m:sSup>
                    <m:r>
                      <a:rPr lang="es-ES" sz="1100" b="0" i="1">
                        <a:latin typeface="Cambria Math" panose="02040503050406030204" pitchFamily="18" charset="0"/>
                      </a:rPr>
                      <m:t>𝑁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2)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AF2AB919-78AD-2A5A-3644-F63DE9E76E87}"/>
                </a:ext>
              </a:extLst>
            </xdr:cNvPr>
            <xdr:cNvSpPr txBox="1"/>
          </xdr:nvSpPr>
          <xdr:spPr>
            <a:xfrm>
              <a:off x="730918" y="279734"/>
              <a:ext cx="2199961" cy="187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𝑉(𝑆,𝑡)=𝑆𝑁(𝑑1)−𝐾𝑒^(−𝑟(𝑡−𝑡) ) 𝑁(𝑑2)</a:t>
              </a:r>
              <a:endParaRPr lang="es-CO" sz="1100"/>
            </a:p>
          </xdr:txBody>
        </xdr:sp>
      </mc:Fallback>
    </mc:AlternateContent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535380-B621-2212-288A-6159DD84A07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142875</xdr:colOff>
      <xdr:row>48</xdr:row>
      <xdr:rowOff>114300</xdr:rowOff>
    </xdr:from>
    <xdr:ext cx="356234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A493F037-3C81-FEB4-9B74-85ECD9A92BEA}"/>
                </a:ext>
              </a:extLst>
            </xdr:cNvPr>
            <xdr:cNvSpPr txBox="1"/>
          </xdr:nvSpPr>
          <xdr:spPr>
            <a:xfrm flipH="1">
              <a:off x="2743200" y="9258300"/>
              <a:ext cx="356234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𝑆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𝑆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𝑆</m:t>
                    </m:r>
                    <m:d>
                      <m:dPr>
                        <m:ctrlP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𝑡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−1</m:t>
                        </m:r>
                      </m:e>
                    </m:d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𝜇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𝑑𝑡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𝑆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−1)</m:t>
                    </m:r>
                    <m:r>
                      <a:rPr lang="es-CO" sz="110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𝜎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𝑑𝑤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</m:t>
                    </m:r>
                    <m:r>
                      <a:rPr lang="es-E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A493F037-3C81-FEB4-9B74-85ECD9A92BEA}"/>
                </a:ext>
              </a:extLst>
            </xdr:cNvPr>
            <xdr:cNvSpPr txBox="1"/>
          </xdr:nvSpPr>
          <xdr:spPr>
            <a:xfrm flipH="1">
              <a:off x="2743200" y="9258300"/>
              <a:ext cx="356234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𝑆(𝑡)=𝑆(𝑡−1)+𝑆(𝑡−1)𝜇𝑑𝑡+𝑆(𝑡−1)</a:t>
              </a:r>
              <a:r>
                <a:rPr lang="es-CO" sz="11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𝜎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𝑑𝑤(𝑡)</a:t>
              </a:r>
              <a:endParaRPr lang="es-CO" sz="1100"/>
            </a:p>
          </xdr:txBody>
        </xdr:sp>
      </mc:Fallback>
    </mc:AlternateContent>
    <xdr:clientData/>
  </xdr:oneCellAnchor>
  <xdr:oneCellAnchor>
    <xdr:from>
      <xdr:col>4</xdr:col>
      <xdr:colOff>590550</xdr:colOff>
      <xdr:row>10</xdr:row>
      <xdr:rowOff>33337</xdr:rowOff>
    </xdr:from>
    <xdr:ext cx="265394" cy="19915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0322C942-9622-CA27-6FF5-DFED4B8FDE3A}"/>
                </a:ext>
              </a:extLst>
            </xdr:cNvPr>
            <xdr:cNvSpPr txBox="1"/>
          </xdr:nvSpPr>
          <xdr:spPr>
            <a:xfrm>
              <a:off x="3800475" y="1938337"/>
              <a:ext cx="265394" cy="1991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ad>
                      <m:radPr>
                        <m:degHide m:val="on"/>
                        <m:ctrlPr>
                          <a:rPr lang="es-CO" sz="1100" i="1">
                            <a:latin typeface="Cambria Math" panose="02040503050406030204" pitchFamily="18" charset="0"/>
                          </a:rPr>
                        </m:ctrlPr>
                      </m:radPr>
                      <m:deg/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𝑑𝑡</m:t>
                        </m:r>
                      </m:e>
                    </m:rad>
                  </m:oMath>
                </m:oMathPara>
              </a14:m>
              <a:endParaRPr lang="es-CO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0322C942-9622-CA27-6FF5-DFED4B8FDE3A}"/>
                </a:ext>
              </a:extLst>
            </xdr:cNvPr>
            <xdr:cNvSpPr txBox="1"/>
          </xdr:nvSpPr>
          <xdr:spPr>
            <a:xfrm>
              <a:off x="3800475" y="1938337"/>
              <a:ext cx="265394" cy="19915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CO" sz="1100" i="0">
                  <a:latin typeface="Cambria Math" panose="02040503050406030204" pitchFamily="18" charset="0"/>
                </a:rPr>
                <a:t>√</a:t>
              </a:r>
              <a:r>
                <a:rPr lang="es-ES" sz="1100" b="0" i="0">
                  <a:latin typeface="Cambria Math" panose="02040503050406030204" pitchFamily="18" charset="0"/>
                </a:rPr>
                <a:t>𝑑𝑡</a:t>
              </a:r>
              <a:endParaRPr lang="es-CO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9425-1FC1-4CE6-97A9-B83DDAA2815C}">
  <dimension ref="B4:L18"/>
  <sheetViews>
    <sheetView tabSelected="1" zoomScale="190" zoomScaleNormal="190" workbookViewId="0">
      <selection activeCell="J18" sqref="J18"/>
    </sheetView>
  </sheetViews>
  <sheetFormatPr defaultColWidth="11.42578125" defaultRowHeight="15"/>
  <cols>
    <col min="3" max="3" width="12.42578125" bestFit="1" customWidth="1"/>
  </cols>
  <sheetData>
    <row r="4" spans="2:12">
      <c r="B4" t="s">
        <v>0</v>
      </c>
      <c r="I4" t="s">
        <v>1</v>
      </c>
    </row>
    <row r="6" spans="2:12">
      <c r="B6" t="s">
        <v>2</v>
      </c>
      <c r="C6">
        <v>380</v>
      </c>
      <c r="I6" t="s">
        <v>2</v>
      </c>
      <c r="J6">
        <v>380</v>
      </c>
    </row>
    <row r="7" spans="2:12">
      <c r="B7" t="s">
        <v>3</v>
      </c>
      <c r="C7">
        <v>340.97</v>
      </c>
      <c r="I7" t="s">
        <v>3</v>
      </c>
      <c r="J7">
        <v>340.97</v>
      </c>
    </row>
    <row r="8" spans="2:12">
      <c r="B8" t="s">
        <v>4</v>
      </c>
      <c r="C8">
        <f>+(1+0.02)^(1/252)-1</f>
        <v>7.8584941984649603E-5</v>
      </c>
      <c r="I8" t="s">
        <v>4</v>
      </c>
      <c r="J8">
        <f>+(1+0.02)^(1/252)-1</f>
        <v>7.8584941984649603E-5</v>
      </c>
    </row>
    <row r="9" spans="2:12">
      <c r="B9" t="s">
        <v>5</v>
      </c>
      <c r="C9" s="6">
        <f>+((LN($C$7/$C$6)+($C$8+0.5*GBM!$G$5^2)*($C$15)))/(SQRT(C15)*GBM!$G$5)</f>
        <v>-1.4749962098130676</v>
      </c>
      <c r="D9" t="s">
        <v>6</v>
      </c>
      <c r="E9">
        <f>+_xlfn.NORM.S.DIST(C9,TRUE)</f>
        <v>7.0106781207416549E-2</v>
      </c>
      <c r="I9" t="s">
        <v>5</v>
      </c>
      <c r="J9" s="6">
        <f>+((LN($C$7/$C$6)+($C$8+0.5*GBM!$G$5^2)*($C$15)))/(SQRT(J15)*GBM!$G$5)</f>
        <v>-1.4749962098130676</v>
      </c>
      <c r="K9" t="s">
        <v>6</v>
      </c>
      <c r="L9">
        <f>+_xlfn.NORM.S.DIST(-J9,TRUE)</f>
        <v>0.92989321879258346</v>
      </c>
    </row>
    <row r="10" spans="2:12">
      <c r="B10" t="s">
        <v>7</v>
      </c>
      <c r="C10" s="6">
        <f>+((LN($C$7/$C$6)-($C$8+0.5*GBM!$G$5^2)*($C$15)))/(SQRT(C15)*GBM!$G$5)</f>
        <v>-1.7700326775191317</v>
      </c>
      <c r="D10" t="s">
        <v>8</v>
      </c>
      <c r="E10">
        <f>+_xlfn.NORM.S.DIST(C10,TRUE)</f>
        <v>3.8360848626903123E-2</v>
      </c>
      <c r="I10" t="s">
        <v>7</v>
      </c>
      <c r="J10" s="6">
        <f>+((LN($C$7/$C$6)-($C$8+0.5*GBM!$G$5^2)*($C$15)))/(SQRT(J15)*GBM!$G$5)</f>
        <v>-1.7700326775191317</v>
      </c>
      <c r="K10" t="s">
        <v>8</v>
      </c>
      <c r="L10">
        <f>+_xlfn.NORM.S.DIST(-J10,TRUE)</f>
        <v>0.96163915137309686</v>
      </c>
    </row>
    <row r="13" spans="2:12">
      <c r="B13" t="s">
        <v>9</v>
      </c>
      <c r="C13" s="4">
        <v>46405</v>
      </c>
      <c r="I13" t="s">
        <v>9</v>
      </c>
      <c r="J13" s="4">
        <v>46405</v>
      </c>
    </row>
    <row r="14" spans="2:12">
      <c r="B14" t="s">
        <v>10</v>
      </c>
      <c r="C14" s="4">
        <v>46308</v>
      </c>
      <c r="I14" t="s">
        <v>10</v>
      </c>
      <c r="J14" s="4">
        <v>46308</v>
      </c>
    </row>
    <row r="15" spans="2:12">
      <c r="C15" s="5">
        <f>+C13-C14</f>
        <v>97</v>
      </c>
      <c r="J15" s="5">
        <f>+J13-J14</f>
        <v>97</v>
      </c>
    </row>
    <row r="18" spans="2:10">
      <c r="B18" t="s">
        <v>11</v>
      </c>
      <c r="C18" s="6">
        <f>+C7*E9-C6*EXP(-C8*C15)*E10</f>
        <v>9.4378818793044896</v>
      </c>
      <c r="I18" t="s">
        <v>11</v>
      </c>
      <c r="J18" s="6">
        <f>J6*EXP(-J8*J15)*L10-J7*L9</f>
        <v>45.582253088568507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256"/>
  <sheetViews>
    <sheetView topLeftCell="A3" zoomScale="130" zoomScaleNormal="130" workbookViewId="0">
      <selection activeCell="B254" sqref="B254"/>
    </sheetView>
  </sheetViews>
  <sheetFormatPr defaultColWidth="9.140625" defaultRowHeight="15"/>
  <cols>
    <col min="1" max="1" width="20.7109375" customWidth="1"/>
    <col min="10" max="10" width="14.42578125" bestFit="1" customWidth="1"/>
    <col min="11" max="11" width="14.7109375" bestFit="1" customWidth="1"/>
  </cols>
  <sheetData>
    <row r="1" spans="1:111">
      <c r="A1" s="1" t="s">
        <v>12</v>
      </c>
      <c r="B1" s="1" t="s">
        <v>13</v>
      </c>
    </row>
    <row r="2" spans="1:111">
      <c r="A2" s="1" t="s">
        <v>14</v>
      </c>
      <c r="B2" s="1" t="s">
        <v>15</v>
      </c>
      <c r="C2" t="s">
        <v>16</v>
      </c>
    </row>
    <row r="3" spans="1:111">
      <c r="A3" s="1" t="s">
        <v>17</v>
      </c>
    </row>
    <row r="4" spans="1:111">
      <c r="A4" s="2">
        <v>45931</v>
      </c>
      <c r="B4">
        <v>254.5098571777344</v>
      </c>
      <c r="F4" t="s">
        <v>18</v>
      </c>
      <c r="G4" t="s">
        <v>19</v>
      </c>
    </row>
    <row r="5" spans="1:111">
      <c r="A5" s="2">
        <v>45932</v>
      </c>
      <c r="B5">
        <v>256.18365478515619</v>
      </c>
      <c r="C5">
        <f>+LOG(B5/B4)</f>
        <v>2.8468098794179179E-3</v>
      </c>
      <c r="E5" t="s">
        <v>20</v>
      </c>
      <c r="F5">
        <f>+AVERAGE(C5:C254)</f>
        <v>4.6706277962337028E-4</v>
      </c>
      <c r="G5">
        <f>+_xlfn.STDEV.S(C5:C254)</f>
        <v>6.7820612548692306E-3</v>
      </c>
    </row>
    <row r="6" spans="1:111">
      <c r="A6" s="2">
        <v>45933</v>
      </c>
      <c r="B6">
        <v>257.07037353515619</v>
      </c>
      <c r="C6">
        <f t="shared" ref="C6:C69" si="0">+LOG(B6/B5)</f>
        <v>1.5006114789777559E-3</v>
      </c>
      <c r="E6" t="s">
        <v>21</v>
      </c>
      <c r="F6">
        <f>+F5*5</f>
        <v>2.3353138981168512E-3</v>
      </c>
      <c r="G6">
        <f>+G5*SQRT(5)</f>
        <v>1.5165149993455126E-2</v>
      </c>
    </row>
    <row r="7" spans="1:111">
      <c r="A7" s="2">
        <v>45936</v>
      </c>
      <c r="B7">
        <v>255.7452697753906</v>
      </c>
      <c r="C7">
        <f t="shared" si="0"/>
        <v>-2.2444187854005668E-3</v>
      </c>
    </row>
    <row r="8" spans="1:111">
      <c r="A8" s="2">
        <v>45937</v>
      </c>
      <c r="B8">
        <v>255.53607177734381</v>
      </c>
      <c r="C8">
        <f t="shared" si="0"/>
        <v>-3.553954891884075E-4</v>
      </c>
      <c r="K8" t="s">
        <v>22</v>
      </c>
    </row>
    <row r="9" spans="1:111">
      <c r="A9" s="2">
        <v>45938</v>
      </c>
      <c r="B9">
        <v>257.11026000976563</v>
      </c>
      <c r="C9">
        <f t="shared" si="0"/>
        <v>2.6671932256037492E-3</v>
      </c>
      <c r="K9">
        <v>0</v>
      </c>
      <c r="L9">
        <v>1</v>
      </c>
      <c r="M9">
        <f>+L9+1</f>
        <v>2</v>
      </c>
      <c r="N9">
        <f t="shared" ref="N9:BY9" si="1">+M9+1</f>
        <v>3</v>
      </c>
      <c r="O9">
        <f t="shared" si="1"/>
        <v>4</v>
      </c>
      <c r="P9">
        <f t="shared" si="1"/>
        <v>5</v>
      </c>
      <c r="Q9">
        <f t="shared" si="1"/>
        <v>6</v>
      </c>
      <c r="R9">
        <f t="shared" si="1"/>
        <v>7</v>
      </c>
      <c r="S9">
        <f t="shared" si="1"/>
        <v>8</v>
      </c>
      <c r="T9">
        <f t="shared" si="1"/>
        <v>9</v>
      </c>
      <c r="U9">
        <f t="shared" si="1"/>
        <v>10</v>
      </c>
      <c r="V9">
        <f t="shared" si="1"/>
        <v>11</v>
      </c>
      <c r="W9">
        <f t="shared" si="1"/>
        <v>12</v>
      </c>
      <c r="X9">
        <f t="shared" si="1"/>
        <v>13</v>
      </c>
      <c r="Y9">
        <f t="shared" si="1"/>
        <v>14</v>
      </c>
      <c r="Z9">
        <f t="shared" si="1"/>
        <v>15</v>
      </c>
      <c r="AA9">
        <f t="shared" si="1"/>
        <v>16</v>
      </c>
      <c r="AB9">
        <f t="shared" si="1"/>
        <v>17</v>
      </c>
      <c r="AC9">
        <f t="shared" si="1"/>
        <v>18</v>
      </c>
      <c r="AD9">
        <f t="shared" si="1"/>
        <v>19</v>
      </c>
      <c r="AE9">
        <f t="shared" si="1"/>
        <v>20</v>
      </c>
      <c r="AF9">
        <f t="shared" si="1"/>
        <v>21</v>
      </c>
      <c r="AG9">
        <f t="shared" si="1"/>
        <v>22</v>
      </c>
      <c r="AH9">
        <f t="shared" si="1"/>
        <v>23</v>
      </c>
      <c r="AI9">
        <f t="shared" si="1"/>
        <v>24</v>
      </c>
      <c r="AJ9">
        <f t="shared" si="1"/>
        <v>25</v>
      </c>
      <c r="AK9">
        <f t="shared" si="1"/>
        <v>26</v>
      </c>
      <c r="AL9">
        <f>+AK9+1</f>
        <v>27</v>
      </c>
      <c r="AM9">
        <f t="shared" si="1"/>
        <v>28</v>
      </c>
      <c r="AN9">
        <f t="shared" si="1"/>
        <v>29</v>
      </c>
      <c r="AO9">
        <f t="shared" si="1"/>
        <v>30</v>
      </c>
      <c r="AP9">
        <f t="shared" si="1"/>
        <v>31</v>
      </c>
      <c r="AQ9">
        <f t="shared" si="1"/>
        <v>32</v>
      </c>
      <c r="AR9">
        <f t="shared" si="1"/>
        <v>33</v>
      </c>
      <c r="AS9">
        <f t="shared" si="1"/>
        <v>34</v>
      </c>
      <c r="AT9">
        <f t="shared" si="1"/>
        <v>35</v>
      </c>
      <c r="AU9">
        <f t="shared" si="1"/>
        <v>36</v>
      </c>
      <c r="AV9">
        <f t="shared" si="1"/>
        <v>37</v>
      </c>
      <c r="AW9">
        <f t="shared" si="1"/>
        <v>38</v>
      </c>
      <c r="AX9">
        <f t="shared" si="1"/>
        <v>39</v>
      </c>
      <c r="AY9">
        <f t="shared" si="1"/>
        <v>40</v>
      </c>
      <c r="AZ9">
        <f t="shared" si="1"/>
        <v>41</v>
      </c>
      <c r="BA9">
        <f t="shared" si="1"/>
        <v>42</v>
      </c>
      <c r="BB9">
        <f t="shared" si="1"/>
        <v>43</v>
      </c>
      <c r="BC9">
        <f t="shared" si="1"/>
        <v>44</v>
      </c>
      <c r="BD9">
        <f t="shared" si="1"/>
        <v>45</v>
      </c>
      <c r="BE9">
        <f t="shared" si="1"/>
        <v>46</v>
      </c>
      <c r="BF9">
        <f t="shared" si="1"/>
        <v>47</v>
      </c>
      <c r="BG9">
        <f t="shared" si="1"/>
        <v>48</v>
      </c>
      <c r="BH9">
        <f t="shared" si="1"/>
        <v>49</v>
      </c>
      <c r="BI9">
        <f t="shared" si="1"/>
        <v>50</v>
      </c>
      <c r="BJ9">
        <f t="shared" si="1"/>
        <v>51</v>
      </c>
      <c r="BK9">
        <f t="shared" si="1"/>
        <v>52</v>
      </c>
      <c r="BL9">
        <f t="shared" si="1"/>
        <v>53</v>
      </c>
      <c r="BM9">
        <f t="shared" si="1"/>
        <v>54</v>
      </c>
      <c r="BN9">
        <f t="shared" si="1"/>
        <v>55</v>
      </c>
      <c r="BO9">
        <f t="shared" si="1"/>
        <v>56</v>
      </c>
      <c r="BP9">
        <f t="shared" si="1"/>
        <v>57</v>
      </c>
      <c r="BQ9">
        <f t="shared" si="1"/>
        <v>58</v>
      </c>
      <c r="BR9">
        <f t="shared" si="1"/>
        <v>59</v>
      </c>
      <c r="BS9">
        <f t="shared" si="1"/>
        <v>60</v>
      </c>
      <c r="BT9">
        <f t="shared" si="1"/>
        <v>61</v>
      </c>
      <c r="BU9">
        <f t="shared" si="1"/>
        <v>62</v>
      </c>
      <c r="BV9">
        <f t="shared" si="1"/>
        <v>63</v>
      </c>
      <c r="BW9">
        <f t="shared" si="1"/>
        <v>64</v>
      </c>
      <c r="BX9">
        <f t="shared" si="1"/>
        <v>65</v>
      </c>
      <c r="BY9">
        <f t="shared" si="1"/>
        <v>66</v>
      </c>
      <c r="BZ9">
        <f t="shared" ref="BZ9:DG9" si="2">+BY9+1</f>
        <v>67</v>
      </c>
      <c r="CA9">
        <f t="shared" si="2"/>
        <v>68</v>
      </c>
      <c r="CB9">
        <f t="shared" si="2"/>
        <v>69</v>
      </c>
      <c r="CC9">
        <f t="shared" si="2"/>
        <v>70</v>
      </c>
      <c r="CD9">
        <f t="shared" si="2"/>
        <v>71</v>
      </c>
      <c r="CE9">
        <f t="shared" si="2"/>
        <v>72</v>
      </c>
      <c r="CF9">
        <f t="shared" si="2"/>
        <v>73</v>
      </c>
      <c r="CG9">
        <f t="shared" si="2"/>
        <v>74</v>
      </c>
      <c r="CH9">
        <f t="shared" si="2"/>
        <v>75</v>
      </c>
      <c r="CI9">
        <f t="shared" si="2"/>
        <v>76</v>
      </c>
      <c r="CJ9">
        <f t="shared" si="2"/>
        <v>77</v>
      </c>
      <c r="CK9">
        <f t="shared" si="2"/>
        <v>78</v>
      </c>
      <c r="CL9">
        <f t="shared" si="2"/>
        <v>79</v>
      </c>
      <c r="CM9">
        <f t="shared" si="2"/>
        <v>80</v>
      </c>
      <c r="CN9">
        <f t="shared" si="2"/>
        <v>81</v>
      </c>
      <c r="CO9">
        <f t="shared" si="2"/>
        <v>82</v>
      </c>
      <c r="CP9">
        <f t="shared" si="2"/>
        <v>83</v>
      </c>
      <c r="CQ9">
        <f t="shared" si="2"/>
        <v>84</v>
      </c>
      <c r="CR9">
        <f t="shared" si="2"/>
        <v>85</v>
      </c>
      <c r="CS9">
        <f t="shared" si="2"/>
        <v>86</v>
      </c>
      <c r="CT9">
        <f t="shared" si="2"/>
        <v>87</v>
      </c>
      <c r="CU9">
        <f t="shared" si="2"/>
        <v>88</v>
      </c>
      <c r="CV9">
        <f t="shared" si="2"/>
        <v>89</v>
      </c>
      <c r="CW9">
        <f t="shared" si="2"/>
        <v>90</v>
      </c>
      <c r="CX9">
        <f t="shared" si="2"/>
        <v>91</v>
      </c>
      <c r="CY9">
        <f t="shared" si="2"/>
        <v>92</v>
      </c>
      <c r="CZ9">
        <f t="shared" si="2"/>
        <v>93</v>
      </c>
      <c r="DA9">
        <f t="shared" si="2"/>
        <v>94</v>
      </c>
      <c r="DB9">
        <f t="shared" si="2"/>
        <v>95</v>
      </c>
      <c r="DC9">
        <f t="shared" si="2"/>
        <v>96</v>
      </c>
      <c r="DD9">
        <f t="shared" si="2"/>
        <v>97</v>
      </c>
      <c r="DE9">
        <f t="shared" si="2"/>
        <v>98</v>
      </c>
      <c r="DF9">
        <f t="shared" si="2"/>
        <v>99</v>
      </c>
      <c r="DG9">
        <f t="shared" si="2"/>
        <v>100</v>
      </c>
    </row>
    <row r="10" spans="1:111">
      <c r="A10" s="2">
        <v>45939</v>
      </c>
      <c r="B10">
        <v>253.10502624511719</v>
      </c>
      <c r="C10">
        <f t="shared" si="0"/>
        <v>-6.8186379414903785E-3</v>
      </c>
      <c r="F10" t="s">
        <v>23</v>
      </c>
      <c r="G10">
        <v>1</v>
      </c>
      <c r="J10">
        <v>1</v>
      </c>
      <c r="K10">
        <v>0</v>
      </c>
      <c r="L10">
        <f ca="1">+K10+$G$11*NORMSINV(RAND())</f>
        <v>0.4506839527177135</v>
      </c>
      <c r="M10">
        <f t="shared" ref="M10:BX11" ca="1" si="3">+L10+$G$11*NORMSINV(RAND())</f>
        <v>-0.11609266878911934</v>
      </c>
      <c r="N10">
        <f t="shared" ca="1" si="3"/>
        <v>-0.51523001662373613</v>
      </c>
      <c r="O10">
        <f t="shared" ca="1" si="3"/>
        <v>8.4953463176081323E-2</v>
      </c>
      <c r="P10">
        <f t="shared" ca="1" si="3"/>
        <v>0.73875270073633492</v>
      </c>
      <c r="Q10">
        <f t="shared" ca="1" si="3"/>
        <v>2.6784353906915102</v>
      </c>
      <c r="R10">
        <f t="shared" ca="1" si="3"/>
        <v>1.9117077782645209</v>
      </c>
      <c r="S10">
        <f t="shared" ca="1" si="3"/>
        <v>0.88742117002897181</v>
      </c>
      <c r="T10">
        <f t="shared" ca="1" si="3"/>
        <v>2.7154192030567037</v>
      </c>
      <c r="U10">
        <f t="shared" ca="1" si="3"/>
        <v>1.9706356686917998</v>
      </c>
      <c r="V10">
        <f t="shared" ca="1" si="3"/>
        <v>2.9807460398351906</v>
      </c>
      <c r="W10">
        <f t="shared" ca="1" si="3"/>
        <v>4.084361443383357</v>
      </c>
      <c r="X10">
        <f t="shared" ca="1" si="3"/>
        <v>5.4953499623924751</v>
      </c>
      <c r="Y10">
        <f t="shared" ca="1" si="3"/>
        <v>5.564186292475469</v>
      </c>
      <c r="Z10">
        <f t="shared" ca="1" si="3"/>
        <v>6.239609289199878</v>
      </c>
      <c r="AA10">
        <f t="shared" ca="1" si="3"/>
        <v>5.5454009089845435</v>
      </c>
      <c r="AB10">
        <f t="shared" ca="1" si="3"/>
        <v>6.4589679815794403</v>
      </c>
      <c r="AC10">
        <f t="shared" ca="1" si="3"/>
        <v>6.4187252481572621</v>
      </c>
      <c r="AD10">
        <f t="shared" ca="1" si="3"/>
        <v>5.9314473177541061</v>
      </c>
      <c r="AE10">
        <f t="shared" ca="1" si="3"/>
        <v>5.8941990708686918</v>
      </c>
      <c r="AF10">
        <f t="shared" ca="1" si="3"/>
        <v>5.7095836365011028</v>
      </c>
      <c r="AG10">
        <f t="shared" ca="1" si="3"/>
        <v>5.3802157660434355</v>
      </c>
      <c r="AH10">
        <f t="shared" ca="1" si="3"/>
        <v>4.8461397679584479</v>
      </c>
      <c r="AI10">
        <f t="shared" ca="1" si="3"/>
        <v>6.2541225266740952</v>
      </c>
      <c r="AJ10">
        <f t="shared" ca="1" si="3"/>
        <v>5.6798294443697959</v>
      </c>
      <c r="AK10">
        <f t="shared" ca="1" si="3"/>
        <v>6.1857166432715687</v>
      </c>
      <c r="AL10">
        <f t="shared" ca="1" si="3"/>
        <v>6.1374370509843423</v>
      </c>
      <c r="AM10">
        <f t="shared" ca="1" si="3"/>
        <v>4.9833198461885875</v>
      </c>
      <c r="AN10">
        <f t="shared" ca="1" si="3"/>
        <v>5.3529835080583918</v>
      </c>
      <c r="AO10">
        <f t="shared" ca="1" si="3"/>
        <v>5.4687530474245074</v>
      </c>
      <c r="AP10">
        <f t="shared" ca="1" si="3"/>
        <v>6.226561373232169</v>
      </c>
      <c r="AQ10">
        <f t="shared" ca="1" si="3"/>
        <v>7.23837582181012</v>
      </c>
      <c r="AR10">
        <f t="shared" ca="1" si="3"/>
        <v>6.6429917026452285</v>
      </c>
      <c r="AS10">
        <f t="shared" ca="1" si="3"/>
        <v>8.0827800108726304</v>
      </c>
      <c r="AT10">
        <f t="shared" ca="1" si="3"/>
        <v>8.2553134834824089</v>
      </c>
      <c r="AU10">
        <f t="shared" ca="1" si="3"/>
        <v>6.5011778860747524</v>
      </c>
      <c r="AV10">
        <f t="shared" ca="1" si="3"/>
        <v>6.5303175663692272</v>
      </c>
      <c r="AW10">
        <f t="shared" ca="1" si="3"/>
        <v>6.5593489898342279</v>
      </c>
      <c r="AX10">
        <f t="shared" ca="1" si="3"/>
        <v>6.7666731309084334</v>
      </c>
      <c r="AY10">
        <f t="shared" ca="1" si="3"/>
        <v>5.9746519689863771</v>
      </c>
      <c r="AZ10">
        <f t="shared" ca="1" si="3"/>
        <v>6.1794675644485739</v>
      </c>
      <c r="BA10">
        <f t="shared" ca="1" si="3"/>
        <v>4.8700648402659006</v>
      </c>
      <c r="BB10">
        <f t="shared" ca="1" si="3"/>
        <v>4.6743138325331186</v>
      </c>
      <c r="BC10">
        <f t="shared" ca="1" si="3"/>
        <v>5.6118992364088305</v>
      </c>
      <c r="BD10">
        <f t="shared" ca="1" si="3"/>
        <v>5.904749701058698</v>
      </c>
      <c r="BE10">
        <f t="shared" ca="1" si="3"/>
        <v>5.3256509928403544</v>
      </c>
      <c r="BF10">
        <f t="shared" ca="1" si="3"/>
        <v>2.9836205694709492</v>
      </c>
      <c r="BG10">
        <f t="shared" ca="1" si="3"/>
        <v>3.7971897893978857</v>
      </c>
      <c r="BH10">
        <f t="shared" ca="1" si="3"/>
        <v>2.7537138828485133</v>
      </c>
      <c r="BI10">
        <f t="shared" ca="1" si="3"/>
        <v>2.7425899957576139</v>
      </c>
      <c r="BJ10">
        <f t="shared" ca="1" si="3"/>
        <v>2.7545408182643247</v>
      </c>
      <c r="BK10">
        <f t="shared" ca="1" si="3"/>
        <v>2.1058440245159078</v>
      </c>
      <c r="BL10">
        <f t="shared" ca="1" si="3"/>
        <v>1.1406441326390317</v>
      </c>
      <c r="BM10">
        <f t="shared" ca="1" si="3"/>
        <v>0.55520094034755296</v>
      </c>
      <c r="BN10">
        <f t="shared" ca="1" si="3"/>
        <v>1.3354938466482218</v>
      </c>
      <c r="BO10">
        <f t="shared" ca="1" si="3"/>
        <v>0.41346709162683415</v>
      </c>
      <c r="BP10">
        <f t="shared" ca="1" si="3"/>
        <v>0.83967377778939856</v>
      </c>
      <c r="BQ10">
        <f t="shared" ca="1" si="3"/>
        <v>-0.5765035199160522</v>
      </c>
      <c r="BR10">
        <f t="shared" ca="1" si="3"/>
        <v>-0.10340288474338694</v>
      </c>
      <c r="BS10">
        <f t="shared" ca="1" si="3"/>
        <v>0.82334733164925988</v>
      </c>
      <c r="BT10">
        <f t="shared" ca="1" si="3"/>
        <v>2.0379799718065907</v>
      </c>
      <c r="BU10">
        <f t="shared" ca="1" si="3"/>
        <v>1.1340890654985261</v>
      </c>
      <c r="BV10">
        <f t="shared" ca="1" si="3"/>
        <v>0.19157178560795596</v>
      </c>
      <c r="BW10">
        <f t="shared" ca="1" si="3"/>
        <v>1.711197848109933</v>
      </c>
      <c r="BX10">
        <f t="shared" ca="1" si="3"/>
        <v>0.86367389850606502</v>
      </c>
      <c r="BY10">
        <f t="shared" ref="BY10:DG14" ca="1" si="4">+BX10+$G$11*NORMSINV(RAND())</f>
        <v>1.3788195239606242</v>
      </c>
      <c r="BZ10">
        <f t="shared" ca="1" si="4"/>
        <v>1.0484293980752681</v>
      </c>
      <c r="CA10">
        <f t="shared" ca="1" si="4"/>
        <v>2.5546658412286884</v>
      </c>
      <c r="CB10">
        <f t="shared" ca="1" si="4"/>
        <v>3.0820109854902604</v>
      </c>
      <c r="CC10">
        <f t="shared" ca="1" si="4"/>
        <v>3.6358871860125634</v>
      </c>
      <c r="CD10">
        <f t="shared" ca="1" si="4"/>
        <v>3.6841706121575672</v>
      </c>
      <c r="CE10">
        <f t="shared" ca="1" si="4"/>
        <v>3.7194313456964574</v>
      </c>
      <c r="CF10">
        <f t="shared" ca="1" si="4"/>
        <v>4.6514587830188283</v>
      </c>
      <c r="CG10">
        <f t="shared" ca="1" si="4"/>
        <v>4.3698966588246151</v>
      </c>
      <c r="CH10">
        <f t="shared" ca="1" si="4"/>
        <v>5.2607504594299357</v>
      </c>
      <c r="CI10">
        <f t="shared" ca="1" si="4"/>
        <v>5.5128261555528972</v>
      </c>
      <c r="CJ10">
        <f t="shared" ca="1" si="4"/>
        <v>6.6446221108570569</v>
      </c>
      <c r="CK10">
        <f t="shared" ca="1" si="4"/>
        <v>7.4982268690940872</v>
      </c>
      <c r="CL10">
        <f t="shared" ca="1" si="4"/>
        <v>8.3858074520945127</v>
      </c>
      <c r="CM10">
        <f t="shared" ca="1" si="4"/>
        <v>6.7102074585784903</v>
      </c>
      <c r="CN10">
        <f t="shared" ca="1" si="4"/>
        <v>4.6240797908648483</v>
      </c>
      <c r="CO10">
        <f t="shared" ca="1" si="4"/>
        <v>5.3083144188570186</v>
      </c>
      <c r="CP10">
        <f t="shared" ca="1" si="4"/>
        <v>4.3121213160780876</v>
      </c>
      <c r="CQ10">
        <f t="shared" ca="1" si="4"/>
        <v>3.7038177218897288</v>
      </c>
      <c r="CR10">
        <f t="shared" ca="1" si="4"/>
        <v>4.2488241686438899</v>
      </c>
      <c r="CS10">
        <f t="shared" ca="1" si="4"/>
        <v>4.4635240165099592</v>
      </c>
      <c r="CT10">
        <f t="shared" ca="1" si="4"/>
        <v>4.2331948057097026</v>
      </c>
      <c r="CU10">
        <f t="shared" ca="1" si="4"/>
        <v>4.4359602810844931</v>
      </c>
      <c r="CV10">
        <f t="shared" ca="1" si="4"/>
        <v>3.6797067274506783</v>
      </c>
      <c r="CW10">
        <f t="shared" ca="1" si="4"/>
        <v>1.9319171362621474</v>
      </c>
      <c r="CX10">
        <f t="shared" ca="1" si="4"/>
        <v>3.2829877666951131</v>
      </c>
      <c r="CY10">
        <f t="shared" ca="1" si="4"/>
        <v>2.6630335206755893</v>
      </c>
      <c r="CZ10">
        <f t="shared" ca="1" si="4"/>
        <v>0.69731256526903795</v>
      </c>
      <c r="DA10">
        <f t="shared" ca="1" si="4"/>
        <v>1.3728490113861933</v>
      </c>
      <c r="DB10">
        <f t="shared" ca="1" si="4"/>
        <v>0.95690409957583689</v>
      </c>
      <c r="DC10">
        <f t="shared" ca="1" si="4"/>
        <v>2.1419604235236402</v>
      </c>
      <c r="DD10">
        <f t="shared" ca="1" si="4"/>
        <v>1.0127808233601614</v>
      </c>
      <c r="DE10">
        <f t="shared" ca="1" si="4"/>
        <v>-5.2457179300393619E-3</v>
      </c>
      <c r="DF10">
        <f t="shared" ca="1" si="4"/>
        <v>-0.1116063445758233</v>
      </c>
      <c r="DG10">
        <f t="shared" ca="1" si="4"/>
        <v>-2.1953002443910634</v>
      </c>
    </row>
    <row r="11" spans="1:111">
      <c r="A11" s="2">
        <v>45940</v>
      </c>
      <c r="B11">
        <v>244.3673095703125</v>
      </c>
      <c r="C11">
        <f t="shared" si="0"/>
        <v>-1.5257662241250903E-2</v>
      </c>
      <c r="G11">
        <f>+SQRT(G10)</f>
        <v>1</v>
      </c>
      <c r="J11">
        <v>2</v>
      </c>
      <c r="K11">
        <f>+K10</f>
        <v>0</v>
      </c>
      <c r="L11">
        <f t="shared" ref="L11:AA19" ca="1" si="5">+K11+$G$11*NORMSINV(RAND())</f>
        <v>-2.5877141456467538</v>
      </c>
      <c r="M11">
        <f t="shared" ca="1" si="5"/>
        <v>-2.2130183482723416</v>
      </c>
      <c r="N11">
        <f t="shared" ca="1" si="5"/>
        <v>-0.96561131243508713</v>
      </c>
      <c r="O11">
        <f t="shared" ca="1" si="5"/>
        <v>-4.1073145664232875</v>
      </c>
      <c r="P11">
        <f t="shared" ca="1" si="5"/>
        <v>-5.9302215827793709</v>
      </c>
      <c r="Q11">
        <f t="shared" ca="1" si="5"/>
        <v>-6.1819454151450461</v>
      </c>
      <c r="R11">
        <f t="shared" ca="1" si="5"/>
        <v>-6.6392358482208396</v>
      </c>
      <c r="S11">
        <f t="shared" ca="1" si="5"/>
        <v>-7.2269521733282165</v>
      </c>
      <c r="T11">
        <f t="shared" ca="1" si="5"/>
        <v>-8.656630504462953</v>
      </c>
      <c r="U11">
        <f t="shared" ca="1" si="5"/>
        <v>-9.4189274425870586</v>
      </c>
      <c r="V11">
        <f t="shared" ca="1" si="5"/>
        <v>-11.074525624852749</v>
      </c>
      <c r="W11">
        <f t="shared" ca="1" si="5"/>
        <v>-10.484886381322372</v>
      </c>
      <c r="X11">
        <f t="shared" ca="1" si="5"/>
        <v>-12.198414284574129</v>
      </c>
      <c r="Y11">
        <f t="shared" ca="1" si="5"/>
        <v>-12.404786277937648</v>
      </c>
      <c r="Z11">
        <f t="shared" ca="1" si="5"/>
        <v>-11.774874425270946</v>
      </c>
      <c r="AA11">
        <f t="shared" ca="1" si="5"/>
        <v>-10.437716702907126</v>
      </c>
      <c r="AB11">
        <f t="shared" ca="1" si="3"/>
        <v>-10.589331280120254</v>
      </c>
      <c r="AC11">
        <f t="shared" ca="1" si="3"/>
        <v>-9.5543279391226328</v>
      </c>
      <c r="AD11">
        <f t="shared" ca="1" si="3"/>
        <v>-9.3410663801191003</v>
      </c>
      <c r="AE11">
        <f t="shared" ca="1" si="3"/>
        <v>-8.6526324171267426</v>
      </c>
      <c r="AF11">
        <f t="shared" ca="1" si="3"/>
        <v>-8.3692379364265665</v>
      </c>
      <c r="AG11">
        <f t="shared" ca="1" si="3"/>
        <v>-6.6549946348180971</v>
      </c>
      <c r="AH11">
        <f t="shared" ca="1" si="3"/>
        <v>-6.3290796026260585</v>
      </c>
      <c r="AI11">
        <f t="shared" ca="1" si="3"/>
        <v>-7.7714643736172597</v>
      </c>
      <c r="AJ11">
        <f t="shared" ca="1" si="3"/>
        <v>-6.6907309400433439</v>
      </c>
      <c r="AK11">
        <f t="shared" ca="1" si="3"/>
        <v>-7.1296028046056161</v>
      </c>
      <c r="AL11">
        <f t="shared" ca="1" si="3"/>
        <v>-8.984384821339706</v>
      </c>
      <c r="AM11">
        <f t="shared" ca="1" si="3"/>
        <v>-9.0596663269952558</v>
      </c>
      <c r="AN11">
        <f t="shared" ca="1" si="3"/>
        <v>-9.0290785504399409</v>
      </c>
      <c r="AO11">
        <f t="shared" ca="1" si="3"/>
        <v>-8.9217532567897067</v>
      </c>
      <c r="AP11">
        <f t="shared" ca="1" si="3"/>
        <v>-8.0028886260688097</v>
      </c>
      <c r="AQ11">
        <f t="shared" ca="1" si="3"/>
        <v>-9.1402012630475475</v>
      </c>
      <c r="AR11">
        <f t="shared" ca="1" si="3"/>
        <v>-9.7812381816499148</v>
      </c>
      <c r="AS11">
        <f t="shared" ca="1" si="3"/>
        <v>-10.495564693055774</v>
      </c>
      <c r="AT11">
        <f t="shared" ca="1" si="3"/>
        <v>-10.833846985464406</v>
      </c>
      <c r="AU11">
        <f t="shared" ca="1" si="3"/>
        <v>-11.784827253596783</v>
      </c>
      <c r="AV11">
        <f t="shared" ca="1" si="3"/>
        <v>-12.150771761973498</v>
      </c>
      <c r="AW11">
        <f t="shared" ca="1" si="3"/>
        <v>-13.524351197813582</v>
      </c>
      <c r="AX11">
        <f t="shared" ca="1" si="3"/>
        <v>-15.472869238524346</v>
      </c>
      <c r="AY11">
        <f t="shared" ca="1" si="3"/>
        <v>-16.880022494948427</v>
      </c>
      <c r="AZ11">
        <f t="shared" ca="1" si="3"/>
        <v>-16.672757039278032</v>
      </c>
      <c r="BA11">
        <f t="shared" ca="1" si="3"/>
        <v>-15.630851161416391</v>
      </c>
      <c r="BB11">
        <f t="shared" ca="1" si="3"/>
        <v>-14.788078508457319</v>
      </c>
      <c r="BC11">
        <f t="shared" ca="1" si="3"/>
        <v>-15.886373962721159</v>
      </c>
      <c r="BD11">
        <f t="shared" ca="1" si="3"/>
        <v>-16.254689022903985</v>
      </c>
      <c r="BE11">
        <f t="shared" ca="1" si="3"/>
        <v>-15.807372711683943</v>
      </c>
      <c r="BF11">
        <f t="shared" ca="1" si="3"/>
        <v>-16.225128455941729</v>
      </c>
      <c r="BG11">
        <f t="shared" ca="1" si="3"/>
        <v>-17.650826080394221</v>
      </c>
      <c r="BH11">
        <f t="shared" ca="1" si="3"/>
        <v>-19.009351192651692</v>
      </c>
      <c r="BI11">
        <f t="shared" ca="1" si="3"/>
        <v>-19.920009540503141</v>
      </c>
      <c r="BJ11">
        <f t="shared" ca="1" si="3"/>
        <v>-20.807297991634847</v>
      </c>
      <c r="BK11">
        <f t="shared" ca="1" si="3"/>
        <v>-23.136426139133736</v>
      </c>
      <c r="BL11">
        <f t="shared" ca="1" si="3"/>
        <v>-22.698177550832124</v>
      </c>
      <c r="BM11">
        <f t="shared" ca="1" si="3"/>
        <v>-22.340561781499975</v>
      </c>
      <c r="BN11">
        <f t="shared" ca="1" si="3"/>
        <v>-22.377181662504981</v>
      </c>
      <c r="BO11">
        <f t="shared" ca="1" si="3"/>
        <v>-21.960550810457317</v>
      </c>
      <c r="BP11">
        <f t="shared" ca="1" si="3"/>
        <v>-22.078633159869064</v>
      </c>
      <c r="BQ11">
        <f t="shared" ca="1" si="3"/>
        <v>-20.749465856643056</v>
      </c>
      <c r="BR11">
        <f t="shared" ca="1" si="3"/>
        <v>-20.15061461278939</v>
      </c>
      <c r="BS11">
        <f t="shared" ca="1" si="3"/>
        <v>-22.8447265176735</v>
      </c>
      <c r="BT11">
        <f t="shared" ca="1" si="3"/>
        <v>-22.486894803685114</v>
      </c>
      <c r="BU11">
        <f t="shared" ca="1" si="3"/>
        <v>-21.800476924288564</v>
      </c>
      <c r="BV11">
        <f t="shared" ca="1" si="3"/>
        <v>-23.131511982136644</v>
      </c>
      <c r="BW11">
        <f t="shared" ca="1" si="3"/>
        <v>-23.495998345208079</v>
      </c>
      <c r="BX11">
        <f t="shared" ca="1" si="3"/>
        <v>-24.332655048623959</v>
      </c>
      <c r="BY11">
        <f t="shared" ca="1" si="4"/>
        <v>-22.505047066685158</v>
      </c>
      <c r="BZ11">
        <f t="shared" ca="1" si="4"/>
        <v>-21.729822425193049</v>
      </c>
      <c r="CA11">
        <f t="shared" ca="1" si="4"/>
        <v>-21.328023119811125</v>
      </c>
      <c r="CB11">
        <f t="shared" ca="1" si="4"/>
        <v>-22.437660661886358</v>
      </c>
      <c r="CC11">
        <f t="shared" ca="1" si="4"/>
        <v>-22.078439075535481</v>
      </c>
      <c r="CD11">
        <f t="shared" ca="1" si="4"/>
        <v>-23.489063776001874</v>
      </c>
      <c r="CE11">
        <f t="shared" ca="1" si="4"/>
        <v>-24.571598001903034</v>
      </c>
      <c r="CF11">
        <f t="shared" ca="1" si="4"/>
        <v>-23.839313823341595</v>
      </c>
      <c r="CG11">
        <f t="shared" ca="1" si="4"/>
        <v>-22.742472009012442</v>
      </c>
      <c r="CH11">
        <f t="shared" ca="1" si="4"/>
        <v>-22.035189168441374</v>
      </c>
      <c r="CI11">
        <f t="shared" ca="1" si="4"/>
        <v>-21.834898024160218</v>
      </c>
      <c r="CJ11">
        <f t="shared" ca="1" si="4"/>
        <v>-21.359712497189907</v>
      </c>
      <c r="CK11">
        <f t="shared" ca="1" si="4"/>
        <v>-21.938269276491642</v>
      </c>
      <c r="CL11">
        <f t="shared" ca="1" si="4"/>
        <v>-22.300116562135788</v>
      </c>
      <c r="CM11">
        <f t="shared" ca="1" si="4"/>
        <v>-21.48529716023009</v>
      </c>
      <c r="CN11">
        <f t="shared" ca="1" si="4"/>
        <v>-22.037055869856196</v>
      </c>
      <c r="CO11">
        <f t="shared" ca="1" si="4"/>
        <v>-20.330731553263789</v>
      </c>
      <c r="CP11">
        <f t="shared" ca="1" si="4"/>
        <v>-20.325417297252436</v>
      </c>
      <c r="CQ11">
        <f t="shared" ca="1" si="4"/>
        <v>-19.983882564452895</v>
      </c>
      <c r="CR11">
        <f t="shared" ca="1" si="4"/>
        <v>-18.962301764291748</v>
      </c>
      <c r="CS11">
        <f t="shared" ca="1" si="4"/>
        <v>-18.945966158057228</v>
      </c>
      <c r="CT11">
        <f t="shared" ca="1" si="4"/>
        <v>-18.417364235319631</v>
      </c>
      <c r="CU11">
        <f t="shared" ca="1" si="4"/>
        <v>-20.013249914947998</v>
      </c>
      <c r="CV11">
        <f t="shared" ca="1" si="4"/>
        <v>-21.107755393323789</v>
      </c>
      <c r="CW11">
        <f t="shared" ca="1" si="4"/>
        <v>-21.206837867391123</v>
      </c>
      <c r="CX11">
        <f t="shared" ca="1" si="4"/>
        <v>-21.820110408257481</v>
      </c>
      <c r="CY11">
        <f t="shared" ca="1" si="4"/>
        <v>-20.810310273488433</v>
      </c>
      <c r="CZ11">
        <f t="shared" ca="1" si="4"/>
        <v>-22.740371219388145</v>
      </c>
      <c r="DA11">
        <f t="shared" ca="1" si="4"/>
        <v>-23.367331752605839</v>
      </c>
      <c r="DB11">
        <f t="shared" ca="1" si="4"/>
        <v>-23.799331210879384</v>
      </c>
      <c r="DC11">
        <f t="shared" ca="1" si="4"/>
        <v>-23.793059943046327</v>
      </c>
      <c r="DD11">
        <f t="shared" ca="1" si="4"/>
        <v>-22.01718370306423</v>
      </c>
      <c r="DE11">
        <f t="shared" ca="1" si="4"/>
        <v>-23.294034975963935</v>
      </c>
      <c r="DF11">
        <f t="shared" ca="1" si="4"/>
        <v>-22.342185487184182</v>
      </c>
      <c r="DG11">
        <f t="shared" ca="1" si="4"/>
        <v>-23.51282099765449</v>
      </c>
    </row>
    <row r="12" spans="1:111">
      <c r="A12" s="2">
        <v>45943</v>
      </c>
      <c r="B12">
        <v>246.74851989746091</v>
      </c>
      <c r="C12">
        <f t="shared" si="0"/>
        <v>4.2114488973485431E-3</v>
      </c>
      <c r="J12">
        <v>3</v>
      </c>
      <c r="K12">
        <f t="shared" ref="K12:K19" si="6">+K11</f>
        <v>0</v>
      </c>
      <c r="L12">
        <f t="shared" ca="1" si="5"/>
        <v>-6.2587033944775702E-2</v>
      </c>
      <c r="M12">
        <f t="shared" ref="M12:BX15" ca="1" si="7">+L12+$G$11*NORMSINV(RAND())</f>
        <v>-0.30996355880638865</v>
      </c>
      <c r="N12">
        <f t="shared" ca="1" si="7"/>
        <v>0.34883123050828907</v>
      </c>
      <c r="O12">
        <f t="shared" ca="1" si="7"/>
        <v>0.33959127878257317</v>
      </c>
      <c r="P12">
        <f t="shared" ca="1" si="7"/>
        <v>-0.87393764958994069</v>
      </c>
      <c r="Q12">
        <f t="shared" ca="1" si="7"/>
        <v>-1.5998237342100001</v>
      </c>
      <c r="R12">
        <f t="shared" ca="1" si="7"/>
        <v>-0.76226765486153047</v>
      </c>
      <c r="S12">
        <f t="shared" ca="1" si="7"/>
        <v>-1.2742714774728592</v>
      </c>
      <c r="T12">
        <f t="shared" ca="1" si="7"/>
        <v>-2.5118586945559302</v>
      </c>
      <c r="U12">
        <f t="shared" ca="1" si="7"/>
        <v>-2.9311763095639725</v>
      </c>
      <c r="V12">
        <f t="shared" ca="1" si="7"/>
        <v>-2.8514105978059234</v>
      </c>
      <c r="W12">
        <f t="shared" ca="1" si="7"/>
        <v>-4.5610697788909622</v>
      </c>
      <c r="X12">
        <f t="shared" ca="1" si="7"/>
        <v>-4.195559031955387</v>
      </c>
      <c r="Y12">
        <f t="shared" ca="1" si="7"/>
        <v>-5.4150658289212217</v>
      </c>
      <c r="Z12">
        <f t="shared" ca="1" si="7"/>
        <v>-4.2943770746060155</v>
      </c>
      <c r="AA12">
        <f t="shared" ca="1" si="7"/>
        <v>-4.2458190615463449</v>
      </c>
      <c r="AB12">
        <f t="shared" ca="1" si="7"/>
        <v>-3.7801618883009405</v>
      </c>
      <c r="AC12">
        <f t="shared" ca="1" si="7"/>
        <v>-3.701797588291027</v>
      </c>
      <c r="AD12">
        <f t="shared" ca="1" si="7"/>
        <v>-3.334011984628805</v>
      </c>
      <c r="AE12">
        <f t="shared" ca="1" si="7"/>
        <v>-2.4045635071966203</v>
      </c>
      <c r="AF12">
        <f t="shared" ca="1" si="7"/>
        <v>-2.4984271874454129</v>
      </c>
      <c r="AG12">
        <f t="shared" ca="1" si="7"/>
        <v>-2.6881233810227343</v>
      </c>
      <c r="AH12">
        <f t="shared" ca="1" si="7"/>
        <v>-4.4742551160019346</v>
      </c>
      <c r="AI12">
        <f t="shared" ca="1" si="7"/>
        <v>-3.6757200816703826</v>
      </c>
      <c r="AJ12">
        <f t="shared" ca="1" si="7"/>
        <v>-4.1862540793473419</v>
      </c>
      <c r="AK12">
        <f t="shared" ca="1" si="7"/>
        <v>-3.6338998933870812</v>
      </c>
      <c r="AL12">
        <f t="shared" ca="1" si="7"/>
        <v>-5.4352393455516239</v>
      </c>
      <c r="AM12">
        <f t="shared" ca="1" si="7"/>
        <v>-3.7833131612688828</v>
      </c>
      <c r="AN12">
        <f t="shared" ca="1" si="7"/>
        <v>-2.9877917355402976</v>
      </c>
      <c r="AO12">
        <f t="shared" ca="1" si="7"/>
        <v>-2.4356222879559741</v>
      </c>
      <c r="AP12">
        <f t="shared" ca="1" si="7"/>
        <v>-1.5604253688111642</v>
      </c>
      <c r="AQ12">
        <f t="shared" ca="1" si="7"/>
        <v>-2.3396091349237551</v>
      </c>
      <c r="AR12">
        <f t="shared" ca="1" si="7"/>
        <v>-3.2030243345991289</v>
      </c>
      <c r="AS12">
        <f t="shared" ca="1" si="7"/>
        <v>-3.6374704996971965</v>
      </c>
      <c r="AT12">
        <f t="shared" ca="1" si="7"/>
        <v>-3.8023844807985969</v>
      </c>
      <c r="AU12">
        <f t="shared" ca="1" si="7"/>
        <v>-4.4030876224168107</v>
      </c>
      <c r="AV12">
        <f t="shared" ca="1" si="7"/>
        <v>-6.3166418671496745</v>
      </c>
      <c r="AW12">
        <f t="shared" ca="1" si="7"/>
        <v>-6.1644525377905035</v>
      </c>
      <c r="AX12">
        <f t="shared" ca="1" si="7"/>
        <v>-5.5375385317227543</v>
      </c>
      <c r="AY12">
        <f t="shared" ca="1" si="7"/>
        <v>-5.4579210197404624</v>
      </c>
      <c r="AZ12">
        <f t="shared" ca="1" si="7"/>
        <v>-6.907728382694672</v>
      </c>
      <c r="BA12">
        <f t="shared" ca="1" si="7"/>
        <v>-8.3540485870511603</v>
      </c>
      <c r="BB12">
        <f t="shared" ca="1" si="7"/>
        <v>-8.8596521929404393</v>
      </c>
      <c r="BC12">
        <f t="shared" ca="1" si="7"/>
        <v>-7.3421144010446984</v>
      </c>
      <c r="BD12">
        <f t="shared" ca="1" si="7"/>
        <v>-6.5107905345628714</v>
      </c>
      <c r="BE12">
        <f t="shared" ca="1" si="7"/>
        <v>-5.9311328239591656</v>
      </c>
      <c r="BF12">
        <f t="shared" ca="1" si="7"/>
        <v>-4.6641227273728951</v>
      </c>
      <c r="BG12">
        <f t="shared" ca="1" si="7"/>
        <v>-4.2459795010566435</v>
      </c>
      <c r="BH12">
        <f t="shared" ca="1" si="7"/>
        <v>-4.1720458485316207</v>
      </c>
      <c r="BI12">
        <f t="shared" ca="1" si="7"/>
        <v>-5.5273585516959631</v>
      </c>
      <c r="BJ12">
        <f t="shared" ca="1" si="7"/>
        <v>-6.5786996266933322</v>
      </c>
      <c r="BK12">
        <f t="shared" ca="1" si="7"/>
        <v>-6.7930005969329299</v>
      </c>
      <c r="BL12">
        <f t="shared" ca="1" si="7"/>
        <v>-6.7762260822421911</v>
      </c>
      <c r="BM12">
        <f t="shared" ca="1" si="7"/>
        <v>-7.8982936213555277</v>
      </c>
      <c r="BN12">
        <f t="shared" ca="1" si="7"/>
        <v>-8.6473594948469401</v>
      </c>
      <c r="BO12">
        <f t="shared" ca="1" si="7"/>
        <v>-7.4767134582758628</v>
      </c>
      <c r="BP12">
        <f t="shared" ca="1" si="7"/>
        <v>-7.2311245863345954</v>
      </c>
      <c r="BQ12">
        <f t="shared" ca="1" si="7"/>
        <v>-8.8803710940768479</v>
      </c>
      <c r="BR12">
        <f t="shared" ca="1" si="7"/>
        <v>-9.4415780163659839</v>
      </c>
      <c r="BS12">
        <f t="shared" ca="1" si="7"/>
        <v>-8.9930894785156656</v>
      </c>
      <c r="BT12">
        <f t="shared" ca="1" si="7"/>
        <v>-8.3701540328829296</v>
      </c>
      <c r="BU12">
        <f t="shared" ca="1" si="7"/>
        <v>-8.174635418832338</v>
      </c>
      <c r="BV12">
        <f t="shared" ca="1" si="7"/>
        <v>-9.6589653338557628</v>
      </c>
      <c r="BW12">
        <f t="shared" ca="1" si="7"/>
        <v>-9.5041954004251412</v>
      </c>
      <c r="BX12">
        <f t="shared" ca="1" si="7"/>
        <v>-11.649365428579742</v>
      </c>
      <c r="BY12">
        <f t="shared" ca="1" si="4"/>
        <v>-14.23680585396745</v>
      </c>
      <c r="BZ12">
        <f t="shared" ca="1" si="4"/>
        <v>-14.801137054985519</v>
      </c>
      <c r="CA12">
        <f t="shared" ca="1" si="4"/>
        <v>-13.767036768162672</v>
      </c>
      <c r="CB12">
        <f t="shared" ca="1" si="4"/>
        <v>-13.602641203482415</v>
      </c>
      <c r="CC12">
        <f t="shared" ca="1" si="4"/>
        <v>-13.890636145034653</v>
      </c>
      <c r="CD12">
        <f t="shared" ca="1" si="4"/>
        <v>-13.360807492516326</v>
      </c>
      <c r="CE12">
        <f t="shared" ca="1" si="4"/>
        <v>-12.950782509772033</v>
      </c>
      <c r="CF12">
        <f t="shared" ca="1" si="4"/>
        <v>-12.353967995211947</v>
      </c>
      <c r="CG12">
        <f t="shared" ca="1" si="4"/>
        <v>-12.542046375434715</v>
      </c>
      <c r="CH12">
        <f t="shared" ca="1" si="4"/>
        <v>-12.441197963955027</v>
      </c>
      <c r="CI12">
        <f t="shared" ca="1" si="4"/>
        <v>-12.284346067425883</v>
      </c>
      <c r="CJ12">
        <f t="shared" ca="1" si="4"/>
        <v>-10.992315628976392</v>
      </c>
      <c r="CK12">
        <f t="shared" ca="1" si="4"/>
        <v>-11.228430652884105</v>
      </c>
      <c r="CL12">
        <f t="shared" ca="1" si="4"/>
        <v>-11.832217030099791</v>
      </c>
      <c r="CM12">
        <f t="shared" ca="1" si="4"/>
        <v>-10.261372697039077</v>
      </c>
      <c r="CN12">
        <f t="shared" ca="1" si="4"/>
        <v>-12.571797241106401</v>
      </c>
      <c r="CO12">
        <f t="shared" ca="1" si="4"/>
        <v>-12.726505131860401</v>
      </c>
      <c r="CP12">
        <f t="shared" ca="1" si="4"/>
        <v>-13.413897371177246</v>
      </c>
      <c r="CQ12">
        <f t="shared" ca="1" si="4"/>
        <v>-14.567258620483136</v>
      </c>
      <c r="CR12">
        <f t="shared" ca="1" si="4"/>
        <v>-13.601957382581883</v>
      </c>
      <c r="CS12">
        <f t="shared" ca="1" si="4"/>
        <v>-13.826313073471541</v>
      </c>
      <c r="CT12">
        <f t="shared" ca="1" si="4"/>
        <v>-12.858362763906538</v>
      </c>
      <c r="CU12">
        <f t="shared" ca="1" si="4"/>
        <v>-12.975219718869388</v>
      </c>
      <c r="CV12">
        <f t="shared" ca="1" si="4"/>
        <v>-13.864675121877859</v>
      </c>
      <c r="CW12">
        <f t="shared" ca="1" si="4"/>
        <v>-16.753075400067566</v>
      </c>
      <c r="CX12">
        <f t="shared" ca="1" si="4"/>
        <v>-16.788459558294349</v>
      </c>
      <c r="CY12">
        <f t="shared" ca="1" si="4"/>
        <v>-15.967513041633453</v>
      </c>
      <c r="CZ12">
        <f t="shared" ca="1" si="4"/>
        <v>-16.155561324078118</v>
      </c>
      <c r="DA12">
        <f t="shared" ca="1" si="4"/>
        <v>-14.052610891680342</v>
      </c>
      <c r="DB12">
        <f t="shared" ca="1" si="4"/>
        <v>-13.758855253110635</v>
      </c>
      <c r="DC12">
        <f t="shared" ca="1" si="4"/>
        <v>-13.873364999102186</v>
      </c>
      <c r="DD12">
        <f t="shared" ca="1" si="4"/>
        <v>-13.229649698830455</v>
      </c>
      <c r="DE12">
        <f t="shared" ca="1" si="4"/>
        <v>-12.616965197038125</v>
      </c>
      <c r="DF12">
        <f t="shared" ca="1" si="4"/>
        <v>-12.274246750736136</v>
      </c>
      <c r="DG12">
        <f t="shared" ca="1" si="4"/>
        <v>-10.681113582558609</v>
      </c>
    </row>
    <row r="13" spans="1:111">
      <c r="A13" s="2">
        <v>45944</v>
      </c>
      <c r="B13">
        <v>246.85810852050781</v>
      </c>
      <c r="C13">
        <f t="shared" si="0"/>
        <v>1.9284074528407057E-4</v>
      </c>
      <c r="J13">
        <v>4</v>
      </c>
      <c r="K13">
        <f t="shared" si="6"/>
        <v>0</v>
      </c>
      <c r="L13">
        <f t="shared" ca="1" si="5"/>
        <v>1.77172721759542</v>
      </c>
      <c r="M13">
        <f t="shared" ca="1" si="7"/>
        <v>3.0501932945022339</v>
      </c>
      <c r="N13">
        <f t="shared" ca="1" si="7"/>
        <v>3.6538631196033422</v>
      </c>
      <c r="O13">
        <f t="shared" ca="1" si="7"/>
        <v>2.5763737843659893</v>
      </c>
      <c r="P13">
        <f t="shared" ca="1" si="7"/>
        <v>5.518472872116873</v>
      </c>
      <c r="Q13">
        <f t="shared" ca="1" si="7"/>
        <v>6.4857194184889764</v>
      </c>
      <c r="R13">
        <f t="shared" ca="1" si="7"/>
        <v>7.0542462553970555</v>
      </c>
      <c r="S13">
        <f t="shared" ca="1" si="7"/>
        <v>5.6217303768018239</v>
      </c>
      <c r="T13">
        <f t="shared" ca="1" si="7"/>
        <v>5.6189878098151613</v>
      </c>
      <c r="U13">
        <f t="shared" ca="1" si="7"/>
        <v>5.6478775447551479</v>
      </c>
      <c r="V13">
        <f t="shared" ca="1" si="7"/>
        <v>5.2500591997336041</v>
      </c>
      <c r="W13">
        <f t="shared" ca="1" si="7"/>
        <v>4.2628929234576312</v>
      </c>
      <c r="X13">
        <f t="shared" ca="1" si="7"/>
        <v>4.6441397809556237</v>
      </c>
      <c r="Y13">
        <f t="shared" ca="1" si="7"/>
        <v>4.1022136775027516</v>
      </c>
      <c r="Z13">
        <f t="shared" ca="1" si="7"/>
        <v>1.9351793980284429</v>
      </c>
      <c r="AA13">
        <f t="shared" ca="1" si="7"/>
        <v>0.14542159565477486</v>
      </c>
      <c r="AB13">
        <f t="shared" ca="1" si="7"/>
        <v>0.38802860413524071</v>
      </c>
      <c r="AC13">
        <f t="shared" ca="1" si="7"/>
        <v>-2.1504795934997807</v>
      </c>
      <c r="AD13">
        <f t="shared" ca="1" si="7"/>
        <v>-2.2717871401774943</v>
      </c>
      <c r="AE13">
        <f t="shared" ca="1" si="7"/>
        <v>-1.2248075278370261</v>
      </c>
      <c r="AF13">
        <f t="shared" ca="1" si="7"/>
        <v>-1.0729971882292499</v>
      </c>
      <c r="AG13">
        <f t="shared" ca="1" si="7"/>
        <v>-1.1229495543811137</v>
      </c>
      <c r="AH13">
        <f t="shared" ca="1" si="7"/>
        <v>-0.43197680202882083</v>
      </c>
      <c r="AI13">
        <f t="shared" ca="1" si="7"/>
        <v>-0.83466865412631974</v>
      </c>
      <c r="AJ13">
        <f t="shared" ca="1" si="7"/>
        <v>0.62349147772755176</v>
      </c>
      <c r="AK13">
        <f t="shared" ca="1" si="7"/>
        <v>0.46135864920659053</v>
      </c>
      <c r="AL13">
        <f t="shared" ca="1" si="7"/>
        <v>0.25141887989331685</v>
      </c>
      <c r="AM13">
        <f t="shared" ca="1" si="7"/>
        <v>0.98404861757560136</v>
      </c>
      <c r="AN13">
        <f t="shared" ca="1" si="7"/>
        <v>2.8104516585574335E-2</v>
      </c>
      <c r="AO13">
        <f t="shared" ca="1" si="7"/>
        <v>-1.0891812827846725</v>
      </c>
      <c r="AP13">
        <f t="shared" ca="1" si="7"/>
        <v>-1.0909751447260017</v>
      </c>
      <c r="AQ13">
        <f t="shared" ca="1" si="7"/>
        <v>-0.68595611979398707</v>
      </c>
      <c r="AR13">
        <f t="shared" ca="1" si="7"/>
        <v>1.0591016914803197</v>
      </c>
      <c r="AS13">
        <f t="shared" ca="1" si="7"/>
        <v>-1.5848478645760071</v>
      </c>
      <c r="AT13">
        <f t="shared" ca="1" si="7"/>
        <v>-2.2522987870187041</v>
      </c>
      <c r="AU13">
        <f t="shared" ca="1" si="7"/>
        <v>-1.0131120322918883</v>
      </c>
      <c r="AV13">
        <f t="shared" ca="1" si="7"/>
        <v>-1.2181206034345764</v>
      </c>
      <c r="AW13">
        <f t="shared" ca="1" si="7"/>
        <v>-0.41215585616698147</v>
      </c>
      <c r="AX13">
        <f t="shared" ca="1" si="7"/>
        <v>-0.22469053653815488</v>
      </c>
      <c r="AY13">
        <f t="shared" ca="1" si="7"/>
        <v>1.676271069585312</v>
      </c>
      <c r="AZ13">
        <f t="shared" ca="1" si="7"/>
        <v>3.4377428432206574</v>
      </c>
      <c r="BA13">
        <f t="shared" ca="1" si="7"/>
        <v>2.2477376850306969</v>
      </c>
      <c r="BB13">
        <f t="shared" ca="1" si="7"/>
        <v>4.3619365636246989</v>
      </c>
      <c r="BC13">
        <f t="shared" ca="1" si="7"/>
        <v>3.6216853230563792</v>
      </c>
      <c r="BD13">
        <f t="shared" ca="1" si="7"/>
        <v>3.6989563121683542</v>
      </c>
      <c r="BE13">
        <f t="shared" ca="1" si="7"/>
        <v>5.2262735178267121</v>
      </c>
      <c r="BF13">
        <f t="shared" ca="1" si="7"/>
        <v>5.6129435311560183</v>
      </c>
      <c r="BG13">
        <f t="shared" ca="1" si="7"/>
        <v>5.0350959985631727</v>
      </c>
      <c r="BH13">
        <f t="shared" ca="1" si="7"/>
        <v>4.7786503603857788</v>
      </c>
      <c r="BI13">
        <f t="shared" ca="1" si="7"/>
        <v>3.5073927781939123</v>
      </c>
      <c r="BJ13">
        <f t="shared" ca="1" si="7"/>
        <v>4.4869385865021183</v>
      </c>
      <c r="BK13">
        <f t="shared" ca="1" si="7"/>
        <v>4.3453497268574255</v>
      </c>
      <c r="BL13">
        <f t="shared" ca="1" si="7"/>
        <v>4.1548635461120389</v>
      </c>
      <c r="BM13">
        <f t="shared" ca="1" si="7"/>
        <v>3.4599747482306591</v>
      </c>
      <c r="BN13">
        <f t="shared" ca="1" si="7"/>
        <v>5.4384605861703612</v>
      </c>
      <c r="BO13">
        <f t="shared" ca="1" si="7"/>
        <v>5.2636864990525947</v>
      </c>
      <c r="BP13">
        <f t="shared" ca="1" si="7"/>
        <v>4.4310181422779333</v>
      </c>
      <c r="BQ13">
        <f t="shared" ca="1" si="7"/>
        <v>3.9364844736142293</v>
      </c>
      <c r="BR13">
        <f t="shared" ca="1" si="7"/>
        <v>4.5442868934884615</v>
      </c>
      <c r="BS13">
        <f t="shared" ca="1" si="7"/>
        <v>3.9836202305104704</v>
      </c>
      <c r="BT13">
        <f t="shared" ca="1" si="7"/>
        <v>3.2430906641563926</v>
      </c>
      <c r="BU13">
        <f t="shared" ca="1" si="7"/>
        <v>4.1890397317610075</v>
      </c>
      <c r="BV13">
        <f t="shared" ca="1" si="7"/>
        <v>3.0328933191503031</v>
      </c>
      <c r="BW13">
        <f t="shared" ca="1" si="7"/>
        <v>2.426561004958208</v>
      </c>
      <c r="BX13">
        <f t="shared" ca="1" si="7"/>
        <v>3.0899574963239527</v>
      </c>
      <c r="BY13">
        <f t="shared" ca="1" si="4"/>
        <v>2.7217029559391501</v>
      </c>
      <c r="BZ13">
        <f t="shared" ca="1" si="4"/>
        <v>2.8710961669884929</v>
      </c>
      <c r="CA13">
        <f t="shared" ca="1" si="4"/>
        <v>2.698427089296386</v>
      </c>
      <c r="CB13">
        <f t="shared" ca="1" si="4"/>
        <v>3.6075315531874801</v>
      </c>
      <c r="CC13">
        <f t="shared" ca="1" si="4"/>
        <v>3.3816104265387974</v>
      </c>
      <c r="CD13">
        <f t="shared" ca="1" si="4"/>
        <v>4.0058547851676822</v>
      </c>
      <c r="CE13">
        <f t="shared" ca="1" si="4"/>
        <v>5.3578174543339827</v>
      </c>
      <c r="CF13">
        <f t="shared" ca="1" si="4"/>
        <v>4.5386688501440346</v>
      </c>
      <c r="CG13">
        <f t="shared" ca="1" si="4"/>
        <v>2.9450388993445915</v>
      </c>
      <c r="CH13">
        <f t="shared" ca="1" si="4"/>
        <v>2.41734066193521</v>
      </c>
      <c r="CI13">
        <f t="shared" ca="1" si="4"/>
        <v>2.3892749237588449</v>
      </c>
      <c r="CJ13">
        <f t="shared" ca="1" si="4"/>
        <v>5.3261237689551155E-2</v>
      </c>
      <c r="CK13">
        <f t="shared" ca="1" si="4"/>
        <v>0.34437885271864654</v>
      </c>
      <c r="CL13">
        <f t="shared" ca="1" si="4"/>
        <v>9.3976739949464427E-2</v>
      </c>
      <c r="CM13">
        <f t="shared" ca="1" si="4"/>
        <v>0.26431828562891135</v>
      </c>
      <c r="CN13">
        <f t="shared" ca="1" si="4"/>
        <v>-2.0865933394161265</v>
      </c>
      <c r="CO13">
        <f t="shared" ca="1" si="4"/>
        <v>-0.59563048811815866</v>
      </c>
      <c r="CP13">
        <f t="shared" ca="1" si="4"/>
        <v>-1.3561166486159335</v>
      </c>
      <c r="CQ13">
        <f t="shared" ca="1" si="4"/>
        <v>-1.1282982686157277</v>
      </c>
      <c r="CR13">
        <f t="shared" ca="1" si="4"/>
        <v>-1.5035281145190913</v>
      </c>
      <c r="CS13">
        <f t="shared" ca="1" si="4"/>
        <v>-1.480294306773704</v>
      </c>
      <c r="CT13">
        <f t="shared" ca="1" si="4"/>
        <v>-0.35171833138395558</v>
      </c>
      <c r="CU13">
        <f t="shared" ca="1" si="4"/>
        <v>-1.1902599790858654</v>
      </c>
      <c r="CV13">
        <f t="shared" ca="1" si="4"/>
        <v>-1.2581275795718345</v>
      </c>
      <c r="CW13">
        <f t="shared" ca="1" si="4"/>
        <v>-0.91639124396418992</v>
      </c>
      <c r="CX13">
        <f t="shared" ca="1" si="4"/>
        <v>-1.4977921250078601</v>
      </c>
      <c r="CY13">
        <f t="shared" ca="1" si="4"/>
        <v>-0.64749734232876477</v>
      </c>
      <c r="CZ13">
        <f t="shared" ca="1" si="4"/>
        <v>-0.17538425575165156</v>
      </c>
      <c r="DA13">
        <f t="shared" ca="1" si="4"/>
        <v>-0.94086755773292796</v>
      </c>
      <c r="DB13">
        <f t="shared" ca="1" si="4"/>
        <v>-2.0281441526373447</v>
      </c>
      <c r="DC13">
        <f t="shared" ca="1" si="4"/>
        <v>-0.73489958891459595</v>
      </c>
      <c r="DD13">
        <f t="shared" ca="1" si="4"/>
        <v>-0.78086789302839543</v>
      </c>
      <c r="DE13">
        <f t="shared" ca="1" si="4"/>
        <v>-2.2790728342488054</v>
      </c>
      <c r="DF13">
        <f t="shared" ca="1" si="4"/>
        <v>-2.1398165600234957</v>
      </c>
      <c r="DG13">
        <f t="shared" ca="1" si="4"/>
        <v>-2.2367241848751074</v>
      </c>
    </row>
    <row r="14" spans="1:111">
      <c r="A14" s="2">
        <v>45945</v>
      </c>
      <c r="B14">
        <v>248.4223327636719</v>
      </c>
      <c r="C14">
        <f t="shared" si="0"/>
        <v>2.743238615332079E-3</v>
      </c>
      <c r="J14">
        <v>5</v>
      </c>
      <c r="K14">
        <f t="shared" si="6"/>
        <v>0</v>
      </c>
      <c r="L14">
        <f t="shared" ca="1" si="5"/>
        <v>0.6913807416895873</v>
      </c>
      <c r="M14">
        <f t="shared" ca="1" si="7"/>
        <v>-0.67222988863769173</v>
      </c>
      <c r="N14">
        <f t="shared" ca="1" si="7"/>
        <v>-0.67647636673692269</v>
      </c>
      <c r="O14">
        <f t="shared" ca="1" si="7"/>
        <v>-1.1177978252875531</v>
      </c>
      <c r="P14">
        <f t="shared" ca="1" si="7"/>
        <v>-0.55682759723925379</v>
      </c>
      <c r="Q14">
        <f t="shared" ca="1" si="7"/>
        <v>-0.33105022902021775</v>
      </c>
      <c r="R14">
        <f t="shared" ca="1" si="7"/>
        <v>0.35669047866670478</v>
      </c>
      <c r="S14">
        <f t="shared" ca="1" si="7"/>
        <v>-1.2935056714961268</v>
      </c>
      <c r="T14">
        <f t="shared" ca="1" si="7"/>
        <v>-6.3505697750447565E-2</v>
      </c>
      <c r="U14">
        <f t="shared" ca="1" si="7"/>
        <v>-0.76578426832095159</v>
      </c>
      <c r="V14">
        <f t="shared" ca="1" si="7"/>
        <v>-1.6869241681208313</v>
      </c>
      <c r="W14">
        <f t="shared" ca="1" si="7"/>
        <v>-2.7937044461394249</v>
      </c>
      <c r="X14">
        <f t="shared" ca="1" si="7"/>
        <v>-3.2737521113978345</v>
      </c>
      <c r="Y14">
        <f t="shared" ca="1" si="7"/>
        <v>-0.9505090979849089</v>
      </c>
      <c r="Z14">
        <f t="shared" ca="1" si="7"/>
        <v>-0.85592791771478272</v>
      </c>
      <c r="AA14">
        <f t="shared" ca="1" si="7"/>
        <v>0.64645136530256297</v>
      </c>
      <c r="AB14">
        <f t="shared" ca="1" si="7"/>
        <v>0.15303958596370704</v>
      </c>
      <c r="AC14">
        <f t="shared" ca="1" si="7"/>
        <v>0.94022983933639803</v>
      </c>
      <c r="AD14">
        <f t="shared" ca="1" si="7"/>
        <v>-0.85470731011044287</v>
      </c>
      <c r="AE14">
        <f t="shared" ca="1" si="7"/>
        <v>0.26992800981376142</v>
      </c>
      <c r="AF14">
        <f t="shared" ca="1" si="7"/>
        <v>-9.2964379332023006E-2</v>
      </c>
      <c r="AG14">
        <f t="shared" ca="1" si="7"/>
        <v>0.15425946069458016</v>
      </c>
      <c r="AH14">
        <f t="shared" ca="1" si="7"/>
        <v>1.2722326188160364</v>
      </c>
      <c r="AI14">
        <f t="shared" ca="1" si="7"/>
        <v>0.35221069043008146</v>
      </c>
      <c r="AJ14">
        <f t="shared" ca="1" si="7"/>
        <v>-0.30803918623058379</v>
      </c>
      <c r="AK14">
        <f t="shared" ca="1" si="7"/>
        <v>2.8366459256961871</v>
      </c>
      <c r="AL14">
        <f t="shared" ca="1" si="7"/>
        <v>3.0950119223912615</v>
      </c>
      <c r="AM14">
        <f t="shared" ca="1" si="7"/>
        <v>3.8904254670665122</v>
      </c>
      <c r="AN14">
        <f t="shared" ca="1" si="7"/>
        <v>4.6258178064095077</v>
      </c>
      <c r="AO14">
        <f t="shared" ca="1" si="7"/>
        <v>3.1830145944598498</v>
      </c>
      <c r="AP14">
        <f t="shared" ca="1" si="7"/>
        <v>3.7936270697741059</v>
      </c>
      <c r="AQ14">
        <f t="shared" ca="1" si="7"/>
        <v>3.1747234584390918</v>
      </c>
      <c r="AR14">
        <f t="shared" ca="1" si="7"/>
        <v>3.7373099564277497</v>
      </c>
      <c r="AS14">
        <f t="shared" ca="1" si="7"/>
        <v>2.7281779333393477</v>
      </c>
      <c r="AT14">
        <f t="shared" ca="1" si="7"/>
        <v>1.2029133882790217</v>
      </c>
      <c r="AU14">
        <f t="shared" ca="1" si="7"/>
        <v>1.5172450280026755</v>
      </c>
      <c r="AV14">
        <f t="shared" ca="1" si="7"/>
        <v>3.6004379255141412</v>
      </c>
      <c r="AW14">
        <f t="shared" ca="1" si="7"/>
        <v>3.8759510166991369</v>
      </c>
      <c r="AX14">
        <f t="shared" ca="1" si="7"/>
        <v>2.9485507974837883</v>
      </c>
      <c r="AY14">
        <f t="shared" ca="1" si="7"/>
        <v>2.0613215943642071</v>
      </c>
      <c r="AZ14">
        <f t="shared" ca="1" si="7"/>
        <v>1.1774894378612464</v>
      </c>
      <c r="BA14">
        <f t="shared" ca="1" si="7"/>
        <v>1.0900569206256243</v>
      </c>
      <c r="BB14">
        <f t="shared" ca="1" si="7"/>
        <v>1.2340313719743052</v>
      </c>
      <c r="BC14">
        <f t="shared" ca="1" si="7"/>
        <v>0.99860490736908714</v>
      </c>
      <c r="BD14">
        <f t="shared" ca="1" si="7"/>
        <v>2.4977591537760158</v>
      </c>
      <c r="BE14">
        <f t="shared" ca="1" si="7"/>
        <v>2.2228612266499841</v>
      </c>
      <c r="BF14">
        <f t="shared" ca="1" si="7"/>
        <v>2.6160470774429885</v>
      </c>
      <c r="BG14">
        <f t="shared" ca="1" si="7"/>
        <v>2.7658569842331944</v>
      </c>
      <c r="BH14">
        <f t="shared" ca="1" si="7"/>
        <v>4.3109119896506911</v>
      </c>
      <c r="BI14">
        <f t="shared" ca="1" si="7"/>
        <v>3.5527900874616769</v>
      </c>
      <c r="BJ14">
        <f t="shared" ca="1" si="7"/>
        <v>3.1713200467482618</v>
      </c>
      <c r="BK14">
        <f t="shared" ca="1" si="7"/>
        <v>4.0974736803963427</v>
      </c>
      <c r="BL14">
        <f t="shared" ca="1" si="7"/>
        <v>3.3901443682769083</v>
      </c>
      <c r="BM14">
        <f t="shared" ca="1" si="7"/>
        <v>4.1959679804021484</v>
      </c>
      <c r="BN14">
        <f t="shared" ca="1" si="7"/>
        <v>5.6335952790851183</v>
      </c>
      <c r="BO14">
        <f t="shared" ca="1" si="7"/>
        <v>5.7223202803810196</v>
      </c>
      <c r="BP14">
        <f t="shared" ca="1" si="7"/>
        <v>5.4572057402912337</v>
      </c>
      <c r="BQ14">
        <f t="shared" ca="1" si="7"/>
        <v>4.7903640819376889</v>
      </c>
      <c r="BR14">
        <f t="shared" ca="1" si="7"/>
        <v>4.5116969418551722</v>
      </c>
      <c r="BS14">
        <f t="shared" ca="1" si="7"/>
        <v>3.4414615927913652</v>
      </c>
      <c r="BT14">
        <f t="shared" ca="1" si="7"/>
        <v>4.58639530802827</v>
      </c>
      <c r="BU14">
        <f t="shared" ca="1" si="7"/>
        <v>4.8618364552632229</v>
      </c>
      <c r="BV14">
        <f t="shared" ca="1" si="7"/>
        <v>5.7351399024102596</v>
      </c>
      <c r="BW14">
        <f t="shared" ca="1" si="7"/>
        <v>6.4429818521755244</v>
      </c>
      <c r="BX14">
        <f t="shared" ca="1" si="7"/>
        <v>7.8944437608038651</v>
      </c>
      <c r="BY14">
        <f t="shared" ca="1" si="4"/>
        <v>6.9315172062546901</v>
      </c>
      <c r="BZ14">
        <f t="shared" ca="1" si="4"/>
        <v>6.9827069602412664</v>
      </c>
      <c r="CA14">
        <f t="shared" ca="1" si="4"/>
        <v>6.1789548462193604</v>
      </c>
      <c r="CB14">
        <f t="shared" ca="1" si="4"/>
        <v>4.8056515698794087</v>
      </c>
      <c r="CC14">
        <f t="shared" ca="1" si="4"/>
        <v>5.1214751676107797</v>
      </c>
      <c r="CD14">
        <f t="shared" ca="1" si="4"/>
        <v>4.3912659724984939</v>
      </c>
      <c r="CE14">
        <f t="shared" ca="1" si="4"/>
        <v>5.1733124066971161</v>
      </c>
      <c r="CF14">
        <f t="shared" ca="1" si="4"/>
        <v>5.4407962066226991</v>
      </c>
      <c r="CG14">
        <f t="shared" ca="1" si="4"/>
        <v>4.4114219454216661</v>
      </c>
      <c r="CH14">
        <f t="shared" ca="1" si="4"/>
        <v>2.9903359576742323</v>
      </c>
      <c r="CI14">
        <f t="shared" ca="1" si="4"/>
        <v>3.5887169251465592</v>
      </c>
      <c r="CJ14">
        <f t="shared" ca="1" si="4"/>
        <v>3.5233844919711514</v>
      </c>
      <c r="CK14">
        <f t="shared" ca="1" si="4"/>
        <v>4.6664117156880671</v>
      </c>
      <c r="CL14">
        <f t="shared" ca="1" si="4"/>
        <v>4.612610598651611</v>
      </c>
      <c r="CM14">
        <f t="shared" ca="1" si="4"/>
        <v>5.5054900612924929</v>
      </c>
      <c r="CN14">
        <f t="shared" ca="1" si="4"/>
        <v>6.2382029804203132</v>
      </c>
      <c r="CO14">
        <f t="shared" ca="1" si="4"/>
        <v>7.2489830015232979</v>
      </c>
      <c r="CP14">
        <f t="shared" ca="1" si="4"/>
        <v>8.4928121223807533</v>
      </c>
      <c r="CQ14">
        <f t="shared" ca="1" si="4"/>
        <v>7.0044436889161164</v>
      </c>
      <c r="CR14">
        <f t="shared" ca="1" si="4"/>
        <v>7.9456661380306164</v>
      </c>
      <c r="CS14">
        <f t="shared" ca="1" si="4"/>
        <v>7.8188429977931753</v>
      </c>
      <c r="CT14">
        <f t="shared" ca="1" si="4"/>
        <v>7.8437399421256373</v>
      </c>
      <c r="CU14">
        <f t="shared" ca="1" si="4"/>
        <v>8.1198569329200492</v>
      </c>
      <c r="CV14">
        <f t="shared" ca="1" si="4"/>
        <v>9.0341344845341727</v>
      </c>
      <c r="CW14">
        <f t="shared" ca="1" si="4"/>
        <v>8.1896468966817935</v>
      </c>
      <c r="CX14">
        <f t="shared" ca="1" si="4"/>
        <v>8.2260116488918271</v>
      </c>
      <c r="CY14">
        <f t="shared" ca="1" si="4"/>
        <v>5.6832778400735657</v>
      </c>
      <c r="CZ14">
        <f t="shared" ca="1" si="4"/>
        <v>6.0726541215759164</v>
      </c>
      <c r="DA14">
        <f t="shared" ca="1" si="4"/>
        <v>5.3893652800801704</v>
      </c>
      <c r="DB14">
        <f t="shared" ca="1" si="4"/>
        <v>5.5205383709845277</v>
      </c>
      <c r="DC14">
        <f t="shared" ca="1" si="4"/>
        <v>6.461113463633688</v>
      </c>
      <c r="DD14">
        <f t="shared" ca="1" si="4"/>
        <v>7.1445075483978684</v>
      </c>
      <c r="DE14">
        <f t="shared" ca="1" si="4"/>
        <v>9.5372728755537235</v>
      </c>
      <c r="DF14">
        <f t="shared" ca="1" si="4"/>
        <v>8.5079624159190121</v>
      </c>
      <c r="DG14">
        <f t="shared" ca="1" si="4"/>
        <v>6.7032697193355935</v>
      </c>
    </row>
    <row r="15" spans="1:111">
      <c r="A15" s="2">
        <v>45946</v>
      </c>
      <c r="B15">
        <v>246.53929138183591</v>
      </c>
      <c r="C15">
        <f t="shared" si="0"/>
        <v>-3.3044922553365093E-3</v>
      </c>
      <c r="J15">
        <v>6</v>
      </c>
      <c r="K15">
        <f t="shared" si="6"/>
        <v>0</v>
      </c>
      <c r="L15">
        <f t="shared" ca="1" si="5"/>
        <v>-0.91928548239260921</v>
      </c>
      <c r="M15">
        <f t="shared" ca="1" si="7"/>
        <v>-1.5888745342856243</v>
      </c>
      <c r="N15">
        <f t="shared" ca="1" si="7"/>
        <v>-0.22431594480739458</v>
      </c>
      <c r="O15">
        <f t="shared" ca="1" si="7"/>
        <v>5.0252673900894718E-2</v>
      </c>
      <c r="P15">
        <f t="shared" ca="1" si="7"/>
        <v>0.85643772840500698</v>
      </c>
      <c r="Q15">
        <f t="shared" ca="1" si="7"/>
        <v>-1.1719993691592281</v>
      </c>
      <c r="R15">
        <f t="shared" ca="1" si="7"/>
        <v>-1.1614372447868131</v>
      </c>
      <c r="S15">
        <f t="shared" ca="1" si="7"/>
        <v>-0.39841165192789507</v>
      </c>
      <c r="T15">
        <f t="shared" ca="1" si="7"/>
        <v>1.1027771975188476</v>
      </c>
      <c r="U15">
        <f t="shared" ca="1" si="7"/>
        <v>0.55520232016615589</v>
      </c>
      <c r="V15">
        <f t="shared" ca="1" si="7"/>
        <v>0.50006092532719926</v>
      </c>
      <c r="W15">
        <f t="shared" ca="1" si="7"/>
        <v>3.0077264873090845</v>
      </c>
      <c r="X15">
        <f t="shared" ca="1" si="7"/>
        <v>3.4582486460081201</v>
      </c>
      <c r="Y15">
        <f t="shared" ca="1" si="7"/>
        <v>1.370367347343517</v>
      </c>
      <c r="Z15">
        <f t="shared" ca="1" si="7"/>
        <v>-0.94472091556643401</v>
      </c>
      <c r="AA15">
        <f t="shared" ca="1" si="7"/>
        <v>-1.0650486404449799</v>
      </c>
      <c r="AB15">
        <f t="shared" ca="1" si="7"/>
        <v>-0.55081330367859516</v>
      </c>
      <c r="AC15">
        <f t="shared" ca="1" si="7"/>
        <v>-0.30650295947544132</v>
      </c>
      <c r="AD15">
        <f t="shared" ca="1" si="7"/>
        <v>-0.35913903700781241</v>
      </c>
      <c r="AE15">
        <f t="shared" ca="1" si="7"/>
        <v>-0.70323980346722437</v>
      </c>
      <c r="AF15">
        <f t="shared" ca="1" si="7"/>
        <v>-2.8098502942024219</v>
      </c>
      <c r="AG15">
        <f t="shared" ca="1" si="7"/>
        <v>-3.2284427877476056</v>
      </c>
      <c r="AH15">
        <f t="shared" ca="1" si="7"/>
        <v>-2.8448965755010391</v>
      </c>
      <c r="AI15">
        <f t="shared" ca="1" si="7"/>
        <v>-2.3589666189430649</v>
      </c>
      <c r="AJ15">
        <f t="shared" ca="1" si="7"/>
        <v>-2.9372688024278029</v>
      </c>
      <c r="AK15">
        <f t="shared" ca="1" si="7"/>
        <v>-3.0976078771486173</v>
      </c>
      <c r="AL15">
        <f t="shared" ca="1" si="7"/>
        <v>-2.3924399062571995</v>
      </c>
      <c r="AM15">
        <f t="shared" ca="1" si="7"/>
        <v>-2.8939795268568247</v>
      </c>
      <c r="AN15">
        <f t="shared" ca="1" si="7"/>
        <v>-4.3620150447206596</v>
      </c>
      <c r="AO15">
        <f t="shared" ca="1" si="7"/>
        <v>-2.2791981479333874</v>
      </c>
      <c r="AP15">
        <f t="shared" ca="1" si="7"/>
        <v>-2.424171651837268</v>
      </c>
      <c r="AQ15">
        <f t="shared" ca="1" si="7"/>
        <v>-0.82257387956740868</v>
      </c>
      <c r="AR15">
        <f t="shared" ca="1" si="7"/>
        <v>-7.6267782548224639E-2</v>
      </c>
      <c r="AS15">
        <f t="shared" ca="1" si="7"/>
        <v>-2.2789714500668365</v>
      </c>
      <c r="AT15">
        <f t="shared" ca="1" si="7"/>
        <v>-1.5900304740091395</v>
      </c>
      <c r="AU15">
        <f t="shared" ca="1" si="7"/>
        <v>-1.8520150551977002</v>
      </c>
      <c r="AV15">
        <f t="shared" ca="1" si="7"/>
        <v>-1.1065047264357704</v>
      </c>
      <c r="AW15">
        <f t="shared" ca="1" si="7"/>
        <v>-1.5928185557694481</v>
      </c>
      <c r="AX15">
        <f t="shared" ca="1" si="7"/>
        <v>-2.3250745099643479</v>
      </c>
      <c r="AY15">
        <f t="shared" ca="1" si="7"/>
        <v>-2.8437509456975838</v>
      </c>
      <c r="AZ15">
        <f t="shared" ca="1" si="7"/>
        <v>-0.66207531488753668</v>
      </c>
      <c r="BA15">
        <f t="shared" ca="1" si="7"/>
        <v>-2.3652020113037375</v>
      </c>
      <c r="BB15">
        <f t="shared" ca="1" si="7"/>
        <v>-2.8455557085462146</v>
      </c>
      <c r="BC15">
        <f t="shared" ca="1" si="7"/>
        <v>-0.14201492040238728</v>
      </c>
      <c r="BD15">
        <f t="shared" ca="1" si="7"/>
        <v>0.39915948827575709</v>
      </c>
      <c r="BE15">
        <f t="shared" ca="1" si="7"/>
        <v>0.52632839260488551</v>
      </c>
      <c r="BF15">
        <f t="shared" ca="1" si="7"/>
        <v>-0.10161361768797217</v>
      </c>
      <c r="BG15">
        <f t="shared" ca="1" si="7"/>
        <v>-0.10135659629036423</v>
      </c>
      <c r="BH15">
        <f t="shared" ca="1" si="7"/>
        <v>1.2807755722897074</v>
      </c>
      <c r="BI15">
        <f t="shared" ca="1" si="7"/>
        <v>3.2686286860670237</v>
      </c>
      <c r="BJ15">
        <f t="shared" ca="1" si="7"/>
        <v>3.6137882777663539</v>
      </c>
      <c r="BK15">
        <f t="shared" ca="1" si="7"/>
        <v>4.861080869238962</v>
      </c>
      <c r="BL15">
        <f t="shared" ca="1" si="7"/>
        <v>5.1012057592179882</v>
      </c>
      <c r="BM15">
        <f t="shared" ca="1" si="7"/>
        <v>4.8516543895410287</v>
      </c>
      <c r="BN15">
        <f t="shared" ca="1" si="7"/>
        <v>4.3457551570783846</v>
      </c>
      <c r="BO15">
        <f t="shared" ca="1" si="7"/>
        <v>5.2757357135822556</v>
      </c>
      <c r="BP15">
        <f t="shared" ca="1" si="7"/>
        <v>5.6042672986830562</v>
      </c>
      <c r="BQ15">
        <f t="shared" ca="1" si="7"/>
        <v>6.1191259738309984</v>
      </c>
      <c r="BR15">
        <f t="shared" ca="1" si="7"/>
        <v>4.186775022172684</v>
      </c>
      <c r="BS15">
        <f t="shared" ca="1" si="7"/>
        <v>4.3924451809734659</v>
      </c>
      <c r="BT15">
        <f t="shared" ca="1" si="7"/>
        <v>5.1398335426491508</v>
      </c>
      <c r="BU15">
        <f t="shared" ca="1" si="7"/>
        <v>4.8997408364592703</v>
      </c>
      <c r="BV15">
        <f t="shared" ca="1" si="7"/>
        <v>3.4586218981694072</v>
      </c>
      <c r="BW15">
        <f t="shared" ca="1" si="7"/>
        <v>3.0158358109566579</v>
      </c>
      <c r="BX15">
        <f t="shared" ref="BX15:DG18" ca="1" si="8">+BW15+$G$11*NORMSINV(RAND())</f>
        <v>2.7880627495262944</v>
      </c>
      <c r="BY15">
        <f t="shared" ca="1" si="8"/>
        <v>2.1515375356078463</v>
      </c>
      <c r="BZ15">
        <f t="shared" ca="1" si="8"/>
        <v>-6.100852136468804E-2</v>
      </c>
      <c r="CA15">
        <f t="shared" ca="1" si="8"/>
        <v>0.2138428421256075</v>
      </c>
      <c r="CB15">
        <f t="shared" ca="1" si="8"/>
        <v>1.3302307072416459</v>
      </c>
      <c r="CC15">
        <f t="shared" ca="1" si="8"/>
        <v>1.0245913465362049</v>
      </c>
      <c r="CD15">
        <f t="shared" ca="1" si="8"/>
        <v>0.7121258595772556</v>
      </c>
      <c r="CE15">
        <f t="shared" ca="1" si="8"/>
        <v>1.2230034625805075</v>
      </c>
      <c r="CF15">
        <f t="shared" ca="1" si="8"/>
        <v>0.8500138826882031</v>
      </c>
      <c r="CG15">
        <f t="shared" ca="1" si="8"/>
        <v>-0.64482091906901817</v>
      </c>
      <c r="CH15">
        <f t="shared" ca="1" si="8"/>
        <v>-2.5074812741452517</v>
      </c>
      <c r="CI15">
        <f t="shared" ca="1" si="8"/>
        <v>0.49552590578128264</v>
      </c>
      <c r="CJ15">
        <f t="shared" ca="1" si="8"/>
        <v>0.50518819633982948</v>
      </c>
      <c r="CK15">
        <f t="shared" ca="1" si="8"/>
        <v>0.37048485685444332</v>
      </c>
      <c r="CL15">
        <f t="shared" ca="1" si="8"/>
        <v>0.32788788165496713</v>
      </c>
      <c r="CM15">
        <f t="shared" ca="1" si="8"/>
        <v>0.69984689687302515</v>
      </c>
      <c r="CN15">
        <f t="shared" ca="1" si="8"/>
        <v>1.5079034060239231</v>
      </c>
      <c r="CO15">
        <f t="shared" ca="1" si="8"/>
        <v>0.34309543513796004</v>
      </c>
      <c r="CP15">
        <f t="shared" ca="1" si="8"/>
        <v>-1.0133029626020966</v>
      </c>
      <c r="CQ15">
        <f t="shared" ca="1" si="8"/>
        <v>-1.6570317294710906</v>
      </c>
      <c r="CR15">
        <f t="shared" ca="1" si="8"/>
        <v>-1.4829215063710275</v>
      </c>
      <c r="CS15">
        <f t="shared" ca="1" si="8"/>
        <v>-0.81408402763697352</v>
      </c>
      <c r="CT15">
        <f t="shared" ca="1" si="8"/>
        <v>-2.9012187866991184</v>
      </c>
      <c r="CU15">
        <f t="shared" ca="1" si="8"/>
        <v>-3.9511363148100056</v>
      </c>
      <c r="CV15">
        <f t="shared" ca="1" si="8"/>
        <v>-3.1545587355951863</v>
      </c>
      <c r="CW15">
        <f t="shared" ca="1" si="8"/>
        <v>-0.47523501273629032</v>
      </c>
      <c r="CX15">
        <f t="shared" ca="1" si="8"/>
        <v>-1.4535860499757787</v>
      </c>
      <c r="CY15">
        <f t="shared" ca="1" si="8"/>
        <v>-0.22353281776256684</v>
      </c>
      <c r="CZ15">
        <f t="shared" ca="1" si="8"/>
        <v>0.54119472678427549</v>
      </c>
      <c r="DA15">
        <f t="shared" ca="1" si="8"/>
        <v>1.3147003636750814</v>
      </c>
      <c r="DB15">
        <f t="shared" ca="1" si="8"/>
        <v>1.5498693994062758</v>
      </c>
      <c r="DC15">
        <f t="shared" ca="1" si="8"/>
        <v>3.446223987479506</v>
      </c>
      <c r="DD15">
        <f t="shared" ca="1" si="8"/>
        <v>4.6786367985536499</v>
      </c>
      <c r="DE15">
        <f t="shared" ca="1" si="8"/>
        <v>4.9889081834799107</v>
      </c>
      <c r="DF15">
        <f t="shared" ca="1" si="8"/>
        <v>5.2344350369405737</v>
      </c>
      <c r="DG15">
        <f t="shared" ca="1" si="8"/>
        <v>4.4517502290777529</v>
      </c>
    </row>
    <row r="16" spans="1:111">
      <c r="A16" s="2">
        <v>45947</v>
      </c>
      <c r="B16">
        <v>251.36146545410159</v>
      </c>
      <c r="C16">
        <f t="shared" si="0"/>
        <v>8.4125562972584625E-3</v>
      </c>
      <c r="J16">
        <v>7</v>
      </c>
      <c r="K16">
        <f t="shared" si="6"/>
        <v>0</v>
      </c>
      <c r="L16">
        <f t="shared" ca="1" si="5"/>
        <v>0.18600938783131354</v>
      </c>
      <c r="M16">
        <f t="shared" ref="M16:BX19" ca="1" si="9">+L16+$G$11*NORMSINV(RAND())</f>
        <v>1.3058376424561182</v>
      </c>
      <c r="N16">
        <f t="shared" ca="1" si="9"/>
        <v>0.92007408407136038</v>
      </c>
      <c r="O16">
        <f t="shared" ca="1" si="9"/>
        <v>1.1300945542689669</v>
      </c>
      <c r="P16">
        <f t="shared" ca="1" si="9"/>
        <v>3.1439233836359168</v>
      </c>
      <c r="Q16">
        <f t="shared" ca="1" si="9"/>
        <v>2.9625297700483459</v>
      </c>
      <c r="R16">
        <f t="shared" ca="1" si="9"/>
        <v>4.4281893399909986</v>
      </c>
      <c r="S16">
        <f t="shared" ca="1" si="9"/>
        <v>6.4041515710788435</v>
      </c>
      <c r="T16">
        <f t="shared" ca="1" si="9"/>
        <v>5.202690662818374</v>
      </c>
      <c r="U16">
        <f t="shared" ca="1" si="9"/>
        <v>6.663680132657201</v>
      </c>
      <c r="V16">
        <f t="shared" ca="1" si="9"/>
        <v>6.4964503250164602</v>
      </c>
      <c r="W16">
        <f t="shared" ca="1" si="9"/>
        <v>5.9817956461878259</v>
      </c>
      <c r="X16">
        <f t="shared" ca="1" si="9"/>
        <v>5.5037130412354829</v>
      </c>
      <c r="Y16">
        <f t="shared" ca="1" si="9"/>
        <v>4.2015715475265276</v>
      </c>
      <c r="Z16">
        <f t="shared" ca="1" si="9"/>
        <v>3.5460896442205874</v>
      </c>
      <c r="AA16">
        <f t="shared" ca="1" si="9"/>
        <v>4.4488974466596147</v>
      </c>
      <c r="AB16">
        <f t="shared" ca="1" si="9"/>
        <v>3.5804647343104499</v>
      </c>
      <c r="AC16">
        <f t="shared" ca="1" si="9"/>
        <v>3.7860070366287966</v>
      </c>
      <c r="AD16">
        <f t="shared" ca="1" si="9"/>
        <v>3.0600595124745444</v>
      </c>
      <c r="AE16">
        <f t="shared" ca="1" si="9"/>
        <v>3.2446771876080143</v>
      </c>
      <c r="AF16">
        <f t="shared" ca="1" si="9"/>
        <v>3.8473727325538976</v>
      </c>
      <c r="AG16">
        <f t="shared" ca="1" si="9"/>
        <v>3.7034154168259796</v>
      </c>
      <c r="AH16">
        <f t="shared" ca="1" si="9"/>
        <v>4.1897267187718574</v>
      </c>
      <c r="AI16">
        <f t="shared" ca="1" si="9"/>
        <v>4.9530368256878816</v>
      </c>
      <c r="AJ16">
        <f t="shared" ca="1" si="9"/>
        <v>5.7041550201925117</v>
      </c>
      <c r="AK16">
        <f t="shared" ca="1" si="9"/>
        <v>5.4218330005139093</v>
      </c>
      <c r="AL16">
        <f t="shared" ca="1" si="9"/>
        <v>5.1443165649734244</v>
      </c>
      <c r="AM16">
        <f t="shared" ca="1" si="9"/>
        <v>5.3053454322504434</v>
      </c>
      <c r="AN16">
        <f t="shared" ca="1" si="9"/>
        <v>4.5126286614744355</v>
      </c>
      <c r="AO16">
        <f t="shared" ca="1" si="9"/>
        <v>5.2177567880381215</v>
      </c>
      <c r="AP16">
        <f t="shared" ca="1" si="9"/>
        <v>4.1369790161735009</v>
      </c>
      <c r="AQ16">
        <f t="shared" ca="1" si="9"/>
        <v>3.3129996338461325</v>
      </c>
      <c r="AR16">
        <f t="shared" ca="1" si="9"/>
        <v>4.4854573344009152</v>
      </c>
      <c r="AS16">
        <f t="shared" ca="1" si="9"/>
        <v>4.3513317676759709</v>
      </c>
      <c r="AT16">
        <f t="shared" ca="1" si="9"/>
        <v>5.6667540954410747</v>
      </c>
      <c r="AU16">
        <f t="shared" ca="1" si="9"/>
        <v>4.9496610209420417</v>
      </c>
      <c r="AV16">
        <f t="shared" ca="1" si="9"/>
        <v>5.7132671832125457</v>
      </c>
      <c r="AW16">
        <f t="shared" ca="1" si="9"/>
        <v>6.952159851119796</v>
      </c>
      <c r="AX16">
        <f t="shared" ca="1" si="9"/>
        <v>7.1869868084844155</v>
      </c>
      <c r="AY16">
        <f t="shared" ca="1" si="9"/>
        <v>6.9944051180392179</v>
      </c>
      <c r="AZ16">
        <f t="shared" ca="1" si="9"/>
        <v>5.4385918889690519</v>
      </c>
      <c r="BA16">
        <f t="shared" ca="1" si="9"/>
        <v>4.396858593080589</v>
      </c>
      <c r="BB16">
        <f t="shared" ca="1" si="9"/>
        <v>5.9633244425380036</v>
      </c>
      <c r="BC16">
        <f t="shared" ca="1" si="9"/>
        <v>5.8556665370247121</v>
      </c>
      <c r="BD16">
        <f t="shared" ca="1" si="9"/>
        <v>6.9583605435101914</v>
      </c>
      <c r="BE16">
        <f t="shared" ca="1" si="9"/>
        <v>8.2395292167242324</v>
      </c>
      <c r="BF16">
        <f t="shared" ca="1" si="9"/>
        <v>8.3490898990075806</v>
      </c>
      <c r="BG16">
        <f t="shared" ca="1" si="9"/>
        <v>6.4192421741671657</v>
      </c>
      <c r="BH16">
        <f t="shared" ca="1" si="9"/>
        <v>6.4204963596681868</v>
      </c>
      <c r="BI16">
        <f t="shared" ca="1" si="9"/>
        <v>5.3468496709535014</v>
      </c>
      <c r="BJ16">
        <f t="shared" ca="1" si="9"/>
        <v>5.2623506708608412</v>
      </c>
      <c r="BK16">
        <f t="shared" ca="1" si="9"/>
        <v>4.9525269724832199</v>
      </c>
      <c r="BL16">
        <f t="shared" ca="1" si="9"/>
        <v>4.0602487973157464</v>
      </c>
      <c r="BM16">
        <f t="shared" ca="1" si="9"/>
        <v>4.7823054977074184</v>
      </c>
      <c r="BN16">
        <f t="shared" ca="1" si="9"/>
        <v>4.4182414210842227</v>
      </c>
      <c r="BO16">
        <f t="shared" ca="1" si="9"/>
        <v>3.8019683478198711</v>
      </c>
      <c r="BP16">
        <f t="shared" ca="1" si="9"/>
        <v>3.1527798216488856</v>
      </c>
      <c r="BQ16">
        <f t="shared" ca="1" si="9"/>
        <v>3.6550000164325538</v>
      </c>
      <c r="BR16">
        <f t="shared" ca="1" si="9"/>
        <v>4.6000114913686971</v>
      </c>
      <c r="BS16">
        <f t="shared" ca="1" si="9"/>
        <v>4.1480931705870665</v>
      </c>
      <c r="BT16">
        <f t="shared" ca="1" si="9"/>
        <v>4.9070199843483175</v>
      </c>
      <c r="BU16">
        <f t="shared" ca="1" si="9"/>
        <v>4.7088046204362524</v>
      </c>
      <c r="BV16">
        <f t="shared" ca="1" si="9"/>
        <v>3.6850054941680161</v>
      </c>
      <c r="BW16">
        <f t="shared" ca="1" si="9"/>
        <v>4.1220197064345765</v>
      </c>
      <c r="BX16">
        <f t="shared" ca="1" si="9"/>
        <v>4.6565024485182747</v>
      </c>
      <c r="BY16">
        <f t="shared" ca="1" si="8"/>
        <v>4.1006939930235884</v>
      </c>
      <c r="BZ16">
        <f t="shared" ca="1" si="8"/>
        <v>5.3992085719903642</v>
      </c>
      <c r="CA16">
        <f t="shared" ca="1" si="8"/>
        <v>5.3791316012067201</v>
      </c>
      <c r="CB16">
        <f t="shared" ca="1" si="8"/>
        <v>3.9095813380275768</v>
      </c>
      <c r="CC16">
        <f t="shared" ca="1" si="8"/>
        <v>3.9992552334197029</v>
      </c>
      <c r="CD16">
        <f t="shared" ca="1" si="8"/>
        <v>2.6382775606376718</v>
      </c>
      <c r="CE16">
        <f t="shared" ca="1" si="8"/>
        <v>0.89909675524187338</v>
      </c>
      <c r="CF16">
        <f t="shared" ca="1" si="8"/>
        <v>1.8210939366442203</v>
      </c>
      <c r="CG16">
        <f t="shared" ca="1" si="8"/>
        <v>2.9633689002005665</v>
      </c>
      <c r="CH16">
        <f t="shared" ca="1" si="8"/>
        <v>3.9281520627657676</v>
      </c>
      <c r="CI16">
        <f t="shared" ca="1" si="8"/>
        <v>2.4159353667728238</v>
      </c>
      <c r="CJ16">
        <f t="shared" ca="1" si="8"/>
        <v>4.2892228813498807</v>
      </c>
      <c r="CK16">
        <f t="shared" ca="1" si="8"/>
        <v>3.6121261511192033</v>
      </c>
      <c r="CL16">
        <f t="shared" ca="1" si="8"/>
        <v>1.9013115078754868</v>
      </c>
      <c r="CM16">
        <f t="shared" ca="1" si="8"/>
        <v>0.942008859554056</v>
      </c>
      <c r="CN16">
        <f t="shared" ca="1" si="8"/>
        <v>-0.2546205278244239</v>
      </c>
      <c r="CO16">
        <f t="shared" ca="1" si="8"/>
        <v>1.0268440805897003</v>
      </c>
      <c r="CP16">
        <f t="shared" ca="1" si="8"/>
        <v>0.72118471970425502</v>
      </c>
      <c r="CQ16">
        <f t="shared" ca="1" si="8"/>
        <v>1.3368524519380394</v>
      </c>
      <c r="CR16">
        <f t="shared" ca="1" si="8"/>
        <v>1.5117178353788945</v>
      </c>
      <c r="CS16">
        <f t="shared" ca="1" si="8"/>
        <v>1.5697363299925053</v>
      </c>
      <c r="CT16">
        <f t="shared" ca="1" si="8"/>
        <v>1.0344654517207184</v>
      </c>
      <c r="CU16">
        <f t="shared" ca="1" si="8"/>
        <v>0.7334466113897895</v>
      </c>
      <c r="CV16">
        <f t="shared" ca="1" si="8"/>
        <v>0.7071736645535377</v>
      </c>
      <c r="CW16">
        <f t="shared" ca="1" si="8"/>
        <v>1.796105798248639</v>
      </c>
      <c r="CX16">
        <f t="shared" ca="1" si="8"/>
        <v>2.8029284289681895</v>
      </c>
      <c r="CY16">
        <f t="shared" ca="1" si="8"/>
        <v>2.7668672423320921</v>
      </c>
      <c r="CZ16">
        <f t="shared" ca="1" si="8"/>
        <v>0.95952864945647676</v>
      </c>
      <c r="DA16">
        <f t="shared" ca="1" si="8"/>
        <v>2.1800061664373329</v>
      </c>
      <c r="DB16">
        <f t="shared" ca="1" si="8"/>
        <v>0.49553397125947574</v>
      </c>
      <c r="DC16">
        <f t="shared" ca="1" si="8"/>
        <v>1.5305584947840505</v>
      </c>
      <c r="DD16">
        <f t="shared" ca="1" si="8"/>
        <v>1.3763250193583105</v>
      </c>
      <c r="DE16">
        <f t="shared" ca="1" si="8"/>
        <v>2.1422044735250263</v>
      </c>
      <c r="DF16">
        <f t="shared" ca="1" si="8"/>
        <v>2.1697363455025198</v>
      </c>
      <c r="DG16">
        <f t="shared" ca="1" si="8"/>
        <v>2.7920071379862161</v>
      </c>
    </row>
    <row r="17" spans="1:111">
      <c r="A17" s="2">
        <v>45950</v>
      </c>
      <c r="B17">
        <v>261.27484130859381</v>
      </c>
      <c r="C17">
        <f t="shared" si="0"/>
        <v>1.6798892963392438E-2</v>
      </c>
      <c r="J17">
        <v>8</v>
      </c>
      <c r="K17">
        <f t="shared" si="6"/>
        <v>0</v>
      </c>
      <c r="L17">
        <f t="shared" ca="1" si="5"/>
        <v>-0.52562479376485305</v>
      </c>
      <c r="M17">
        <f t="shared" ca="1" si="9"/>
        <v>-1.1066735180875451</v>
      </c>
      <c r="N17">
        <f t="shared" ca="1" si="9"/>
        <v>-0.7043709769904597</v>
      </c>
      <c r="O17">
        <f t="shared" ca="1" si="9"/>
        <v>-1.3839052118573263</v>
      </c>
      <c r="P17">
        <f t="shared" ca="1" si="9"/>
        <v>-1.0925396075808873</v>
      </c>
      <c r="Q17">
        <f t="shared" ca="1" si="9"/>
        <v>-0.75502373387822519</v>
      </c>
      <c r="R17">
        <f t="shared" ca="1" si="9"/>
        <v>-0.49981629663188543</v>
      </c>
      <c r="S17">
        <f t="shared" ca="1" si="9"/>
        <v>-7.0399781283001839E-2</v>
      </c>
      <c r="T17">
        <f t="shared" ca="1" si="9"/>
        <v>0.30667311118219887</v>
      </c>
      <c r="U17">
        <f t="shared" ca="1" si="9"/>
        <v>-0.70314142544977021</v>
      </c>
      <c r="V17">
        <f t="shared" ca="1" si="9"/>
        <v>-1.0944478775480402</v>
      </c>
      <c r="W17">
        <f t="shared" ca="1" si="9"/>
        <v>-1.6513711364961423</v>
      </c>
      <c r="X17">
        <f t="shared" ca="1" si="9"/>
        <v>-3.0409199397504372</v>
      </c>
      <c r="Y17">
        <f t="shared" ca="1" si="9"/>
        <v>-1.1686906864100417</v>
      </c>
      <c r="Z17">
        <f t="shared" ca="1" si="9"/>
        <v>-2.4226954219918744</v>
      </c>
      <c r="AA17">
        <f t="shared" ca="1" si="9"/>
        <v>-5.4450226515100777</v>
      </c>
      <c r="AB17">
        <f t="shared" ca="1" si="9"/>
        <v>-5.6546490956536655</v>
      </c>
      <c r="AC17">
        <f t="shared" ca="1" si="9"/>
        <v>-6.1664783115152231</v>
      </c>
      <c r="AD17">
        <f t="shared" ca="1" si="9"/>
        <v>-5.4395124924157905</v>
      </c>
      <c r="AE17">
        <f t="shared" ca="1" si="9"/>
        <v>-5.2450128965341172</v>
      </c>
      <c r="AF17">
        <f t="shared" ca="1" si="9"/>
        <v>-5.8232016546517595</v>
      </c>
      <c r="AG17">
        <f t="shared" ca="1" si="9"/>
        <v>-5.5830459028431667</v>
      </c>
      <c r="AH17">
        <f t="shared" ca="1" si="9"/>
        <v>-7.0091394472064623</v>
      </c>
      <c r="AI17">
        <f t="shared" ca="1" si="9"/>
        <v>-7.4106293013359563</v>
      </c>
      <c r="AJ17">
        <f t="shared" ca="1" si="9"/>
        <v>-9.421466230464496</v>
      </c>
      <c r="AK17">
        <f t="shared" ca="1" si="9"/>
        <v>-9.1585733473866338</v>
      </c>
      <c r="AL17">
        <f t="shared" ca="1" si="9"/>
        <v>-10.15906039105043</v>
      </c>
      <c r="AM17">
        <f t="shared" ca="1" si="9"/>
        <v>-11.04955801394973</v>
      </c>
      <c r="AN17">
        <f t="shared" ca="1" si="9"/>
        <v>-11.068268935227248</v>
      </c>
      <c r="AO17">
        <f t="shared" ca="1" si="9"/>
        <v>-11.466376990300864</v>
      </c>
      <c r="AP17">
        <f t="shared" ca="1" si="9"/>
        <v>-10.300068798976007</v>
      </c>
      <c r="AQ17">
        <f t="shared" ca="1" si="9"/>
        <v>-11.11747527428335</v>
      </c>
      <c r="AR17">
        <f t="shared" ca="1" si="9"/>
        <v>-10.685164695070062</v>
      </c>
      <c r="AS17">
        <f t="shared" ca="1" si="9"/>
        <v>-11.775435500045614</v>
      </c>
      <c r="AT17">
        <f t="shared" ca="1" si="9"/>
        <v>-11.673442424126828</v>
      </c>
      <c r="AU17">
        <f t="shared" ca="1" si="9"/>
        <v>-11.413055211504435</v>
      </c>
      <c r="AV17">
        <f t="shared" ca="1" si="9"/>
        <v>-11.564560921813939</v>
      </c>
      <c r="AW17">
        <f t="shared" ca="1" si="9"/>
        <v>-10.44032466028137</v>
      </c>
      <c r="AX17">
        <f t="shared" ca="1" si="9"/>
        <v>-10.492120396549344</v>
      </c>
      <c r="AY17">
        <f t="shared" ca="1" si="9"/>
        <v>-11.118237801405453</v>
      </c>
      <c r="AZ17">
        <f t="shared" ca="1" si="9"/>
        <v>-11.683085277666404</v>
      </c>
      <c r="BA17">
        <f t="shared" ca="1" si="9"/>
        <v>-10.627224745233608</v>
      </c>
      <c r="BB17">
        <f t="shared" ca="1" si="9"/>
        <v>-9.6595547432588837</v>
      </c>
      <c r="BC17">
        <f t="shared" ca="1" si="9"/>
        <v>-9.8752799929493502</v>
      </c>
      <c r="BD17">
        <f t="shared" ca="1" si="9"/>
        <v>-10.018864283715846</v>
      </c>
      <c r="BE17">
        <f t="shared" ca="1" si="9"/>
        <v>-9.7762595797636802</v>
      </c>
      <c r="BF17">
        <f t="shared" ca="1" si="9"/>
        <v>-9.7428154059217515</v>
      </c>
      <c r="BG17">
        <f t="shared" ca="1" si="9"/>
        <v>-8.5845119638535401</v>
      </c>
      <c r="BH17">
        <f t="shared" ca="1" si="9"/>
        <v>-8.8768691256032408</v>
      </c>
      <c r="BI17">
        <f t="shared" ca="1" si="9"/>
        <v>-7.1894254555787445</v>
      </c>
      <c r="BJ17">
        <f t="shared" ca="1" si="9"/>
        <v>-9.5842021655159471</v>
      </c>
      <c r="BK17">
        <f t="shared" ca="1" si="9"/>
        <v>-8.5006370618507141</v>
      </c>
      <c r="BL17">
        <f t="shared" ca="1" si="9"/>
        <v>-7.611106252294479</v>
      </c>
      <c r="BM17">
        <f t="shared" ca="1" si="9"/>
        <v>-6.9127648263461161</v>
      </c>
      <c r="BN17">
        <f t="shared" ca="1" si="9"/>
        <v>-3.7233518993654973</v>
      </c>
      <c r="BO17">
        <f t="shared" ca="1" si="9"/>
        <v>-3.085487791143438</v>
      </c>
      <c r="BP17">
        <f t="shared" ca="1" si="9"/>
        <v>-3.4137909128120825</v>
      </c>
      <c r="BQ17">
        <f t="shared" ca="1" si="9"/>
        <v>-2.9782561724510233</v>
      </c>
      <c r="BR17">
        <f t="shared" ca="1" si="9"/>
        <v>-4.249365899430285</v>
      </c>
      <c r="BS17">
        <f t="shared" ca="1" si="9"/>
        <v>-5.1396739604626296</v>
      </c>
      <c r="BT17">
        <f t="shared" ca="1" si="9"/>
        <v>-3.8770053661041106</v>
      </c>
      <c r="BU17">
        <f t="shared" ca="1" si="9"/>
        <v>-4.2608143199529795</v>
      </c>
      <c r="BV17">
        <f t="shared" ca="1" si="9"/>
        <v>-5.3433047404307086</v>
      </c>
      <c r="BW17">
        <f t="shared" ca="1" si="9"/>
        <v>-3.9901384504967066</v>
      </c>
      <c r="BX17">
        <f t="shared" ca="1" si="9"/>
        <v>-3.7160263021692082</v>
      </c>
      <c r="BY17">
        <f t="shared" ca="1" si="8"/>
        <v>-1.8193628365333112</v>
      </c>
      <c r="BZ17">
        <f t="shared" ca="1" si="8"/>
        <v>-2.6374118489171501</v>
      </c>
      <c r="CA17">
        <f t="shared" ca="1" si="8"/>
        <v>-1.0665851170179357</v>
      </c>
      <c r="CB17">
        <f t="shared" ca="1" si="8"/>
        <v>-0.7455849365762186</v>
      </c>
      <c r="CC17">
        <f t="shared" ca="1" si="8"/>
        <v>-0.9899302868423745</v>
      </c>
      <c r="CD17">
        <f t="shared" ca="1" si="8"/>
        <v>-1.2086807157692625</v>
      </c>
      <c r="CE17">
        <f t="shared" ca="1" si="8"/>
        <v>-0.99625444625804371</v>
      </c>
      <c r="CF17">
        <f t="shared" ca="1" si="8"/>
        <v>-1.2915392632429041</v>
      </c>
      <c r="CG17">
        <f t="shared" ca="1" si="8"/>
        <v>-1.7818143475580355</v>
      </c>
      <c r="CH17">
        <f t="shared" ca="1" si="8"/>
        <v>-2.005290349552328</v>
      </c>
      <c r="CI17">
        <f t="shared" ca="1" si="8"/>
        <v>-3.0399644061106059</v>
      </c>
      <c r="CJ17">
        <f t="shared" ca="1" si="8"/>
        <v>-2.582807857281558</v>
      </c>
      <c r="CK17">
        <f t="shared" ca="1" si="8"/>
        <v>-3.0901408310004901</v>
      </c>
      <c r="CL17">
        <f t="shared" ca="1" si="8"/>
        <v>-2.8170477052722278</v>
      </c>
      <c r="CM17">
        <f t="shared" ca="1" si="8"/>
        <v>-2.2101382747976546</v>
      </c>
      <c r="CN17">
        <f t="shared" ca="1" si="8"/>
        <v>-0.80207066110069558</v>
      </c>
      <c r="CO17">
        <f t="shared" ca="1" si="8"/>
        <v>-1.5230035911209234</v>
      </c>
      <c r="CP17">
        <f t="shared" ca="1" si="8"/>
        <v>-2.1335156008933742</v>
      </c>
      <c r="CQ17">
        <f t="shared" ca="1" si="8"/>
        <v>-0.78528685681351251</v>
      </c>
      <c r="CR17">
        <f t="shared" ca="1" si="8"/>
        <v>-1.3289195415559294</v>
      </c>
      <c r="CS17">
        <f t="shared" ca="1" si="8"/>
        <v>-2.5337948635738767</v>
      </c>
      <c r="CT17">
        <f t="shared" ca="1" si="8"/>
        <v>-4.0408072143599805</v>
      </c>
      <c r="CU17">
        <f t="shared" ca="1" si="8"/>
        <v>-5.7999399850022417</v>
      </c>
      <c r="CV17">
        <f t="shared" ca="1" si="8"/>
        <v>-5.1476325451014704</v>
      </c>
      <c r="CW17">
        <f t="shared" ca="1" si="8"/>
        <v>-3.0079701693023724</v>
      </c>
      <c r="CX17">
        <f t="shared" ca="1" si="8"/>
        <v>-4.2119332701136001</v>
      </c>
      <c r="CY17">
        <f t="shared" ca="1" si="8"/>
        <v>-5.7496985195779722</v>
      </c>
      <c r="CZ17">
        <f t="shared" ca="1" si="8"/>
        <v>-5.6255197621482633</v>
      </c>
      <c r="DA17">
        <f t="shared" ca="1" si="8"/>
        <v>-6.2584262166332696</v>
      </c>
      <c r="DB17">
        <f t="shared" ca="1" si="8"/>
        <v>-6.8320347526535237</v>
      </c>
      <c r="DC17">
        <f t="shared" ca="1" si="8"/>
        <v>-5.3520173422013331</v>
      </c>
      <c r="DD17">
        <f t="shared" ca="1" si="8"/>
        <v>-4.9439832778307764</v>
      </c>
      <c r="DE17">
        <f t="shared" ca="1" si="8"/>
        <v>-5.9564965051270651</v>
      </c>
      <c r="DF17">
        <f t="shared" ca="1" si="8"/>
        <v>-5.9148367870232628</v>
      </c>
      <c r="DG17">
        <f t="shared" ca="1" si="8"/>
        <v>-5.0408168912318931</v>
      </c>
    </row>
    <row r="18" spans="1:111">
      <c r="A18" s="2">
        <v>45951</v>
      </c>
      <c r="B18">
        <v>261.8028564453125</v>
      </c>
      <c r="C18">
        <f t="shared" si="0"/>
        <v>8.7678805313591351E-4</v>
      </c>
      <c r="J18">
        <v>9</v>
      </c>
      <c r="K18">
        <f t="shared" si="6"/>
        <v>0</v>
      </c>
      <c r="L18">
        <f t="shared" ca="1" si="5"/>
        <v>0.93015057620904518</v>
      </c>
      <c r="M18">
        <f t="shared" ca="1" si="9"/>
        <v>0.53197617725963953</v>
      </c>
      <c r="N18">
        <f t="shared" ca="1" si="9"/>
        <v>1.1689997267147989</v>
      </c>
      <c r="O18">
        <f t="shared" ca="1" si="9"/>
        <v>1.1070429430871187</v>
      </c>
      <c r="P18">
        <f t="shared" ca="1" si="9"/>
        <v>0.78443531262020527</v>
      </c>
      <c r="Q18">
        <f t="shared" ca="1" si="9"/>
        <v>2.0147047731135852</v>
      </c>
      <c r="R18">
        <f t="shared" ca="1" si="9"/>
        <v>5.5013570895855679E-2</v>
      </c>
      <c r="S18">
        <f t="shared" ca="1" si="9"/>
        <v>1.2334085509698001</v>
      </c>
      <c r="T18">
        <f t="shared" ca="1" si="9"/>
        <v>1.2845044913581782</v>
      </c>
      <c r="U18">
        <f t="shared" ca="1" si="9"/>
        <v>1.2270613882371051</v>
      </c>
      <c r="V18">
        <f t="shared" ca="1" si="9"/>
        <v>-0.29026252964727051</v>
      </c>
      <c r="W18">
        <f t="shared" ca="1" si="9"/>
        <v>-0.86053853564420191</v>
      </c>
      <c r="X18">
        <f t="shared" ca="1" si="9"/>
        <v>0.59255372112737903</v>
      </c>
      <c r="Y18">
        <f t="shared" ca="1" si="9"/>
        <v>-1.0598521744295757</v>
      </c>
      <c r="Z18">
        <f t="shared" ca="1" si="9"/>
        <v>-1.4210242452443103</v>
      </c>
      <c r="AA18">
        <f t="shared" ca="1" si="9"/>
        <v>-1.6151218860594287</v>
      </c>
      <c r="AB18">
        <f t="shared" ca="1" si="9"/>
        <v>-0.70763115540445254</v>
      </c>
      <c r="AC18">
        <f t="shared" ca="1" si="9"/>
        <v>-0.37406049131033181</v>
      </c>
      <c r="AD18">
        <f t="shared" ca="1" si="9"/>
        <v>-0.45236169867882953</v>
      </c>
      <c r="AE18">
        <f t="shared" ca="1" si="9"/>
        <v>0.94911291177490731</v>
      </c>
      <c r="AF18">
        <f t="shared" ca="1" si="9"/>
        <v>1.8471529817180337</v>
      </c>
      <c r="AG18">
        <f t="shared" ca="1" si="9"/>
        <v>1.2834111880515837</v>
      </c>
      <c r="AH18">
        <f t="shared" ca="1" si="9"/>
        <v>2.3860563009135323</v>
      </c>
      <c r="AI18">
        <f t="shared" ca="1" si="9"/>
        <v>3.8393163663584189</v>
      </c>
      <c r="AJ18">
        <f t="shared" ca="1" si="9"/>
        <v>4.9655743552456615</v>
      </c>
      <c r="AK18">
        <f t="shared" ca="1" si="9"/>
        <v>4.7953974210357648</v>
      </c>
      <c r="AL18">
        <f t="shared" ca="1" si="9"/>
        <v>4.7049646624460282</v>
      </c>
      <c r="AM18">
        <f t="shared" ca="1" si="9"/>
        <v>3.1857300839822056</v>
      </c>
      <c r="AN18">
        <f t="shared" ca="1" si="9"/>
        <v>3.2576570610194953</v>
      </c>
      <c r="AO18">
        <f t="shared" ca="1" si="9"/>
        <v>2.275971252576944</v>
      </c>
      <c r="AP18">
        <f t="shared" ca="1" si="9"/>
        <v>1.8788424892644811</v>
      </c>
      <c r="AQ18">
        <f t="shared" ca="1" si="9"/>
        <v>1.9120061096207452</v>
      </c>
      <c r="AR18">
        <f t="shared" ca="1" si="9"/>
        <v>0.73858568346617837</v>
      </c>
      <c r="AS18">
        <f t="shared" ca="1" si="9"/>
        <v>0.34732105433950156</v>
      </c>
      <c r="AT18">
        <f t="shared" ca="1" si="9"/>
        <v>0.98623497291651763</v>
      </c>
      <c r="AU18">
        <f t="shared" ca="1" si="9"/>
        <v>0.5942561549600327</v>
      </c>
      <c r="AV18">
        <f t="shared" ca="1" si="9"/>
        <v>1.3161999055504738</v>
      </c>
      <c r="AW18">
        <f t="shared" ca="1" si="9"/>
        <v>0.66687622721201401</v>
      </c>
      <c r="AX18">
        <f t="shared" ca="1" si="9"/>
        <v>1.1074121921303195</v>
      </c>
      <c r="AY18">
        <f t="shared" ca="1" si="9"/>
        <v>2.4992046576871818</v>
      </c>
      <c r="AZ18">
        <f t="shared" ca="1" si="9"/>
        <v>3.3585745750508416</v>
      </c>
      <c r="BA18">
        <f t="shared" ca="1" si="9"/>
        <v>2.420583110373304</v>
      </c>
      <c r="BB18">
        <f t="shared" ca="1" si="9"/>
        <v>2.7527988685594638</v>
      </c>
      <c r="BC18">
        <f t="shared" ca="1" si="9"/>
        <v>3.9559326051435684</v>
      </c>
      <c r="BD18">
        <f t="shared" ca="1" si="9"/>
        <v>3.9454071082462931</v>
      </c>
      <c r="BE18">
        <f t="shared" ca="1" si="9"/>
        <v>4.7304609298861644</v>
      </c>
      <c r="BF18">
        <f t="shared" ca="1" si="9"/>
        <v>4.0167109282225759</v>
      </c>
      <c r="BG18">
        <f t="shared" ca="1" si="9"/>
        <v>4.1550722915832843</v>
      </c>
      <c r="BH18">
        <f t="shared" ca="1" si="9"/>
        <v>5.1306905395425497</v>
      </c>
      <c r="BI18">
        <f t="shared" ca="1" si="9"/>
        <v>5.0945591118481506</v>
      </c>
      <c r="BJ18">
        <f t="shared" ca="1" si="9"/>
        <v>5.8091531688889182</v>
      </c>
      <c r="BK18">
        <f t="shared" ca="1" si="9"/>
        <v>4.6680773824925526</v>
      </c>
      <c r="BL18">
        <f t="shared" ca="1" si="9"/>
        <v>4.8591918021085281</v>
      </c>
      <c r="BM18">
        <f t="shared" ca="1" si="9"/>
        <v>5.3698588916144283</v>
      </c>
      <c r="BN18">
        <f t="shared" ca="1" si="9"/>
        <v>7.2710054249785472</v>
      </c>
      <c r="BO18">
        <f t="shared" ca="1" si="9"/>
        <v>8.2739101184119281</v>
      </c>
      <c r="BP18">
        <f t="shared" ca="1" si="9"/>
        <v>6.8588986551829514</v>
      </c>
      <c r="BQ18">
        <f t="shared" ca="1" si="9"/>
        <v>6.5324130902862203</v>
      </c>
      <c r="BR18">
        <f t="shared" ca="1" si="9"/>
        <v>5.9392873998596505</v>
      </c>
      <c r="BS18">
        <f t="shared" ca="1" si="9"/>
        <v>6.306974677801807</v>
      </c>
      <c r="BT18">
        <f t="shared" ca="1" si="9"/>
        <v>6.1293319815899849</v>
      </c>
      <c r="BU18">
        <f t="shared" ca="1" si="9"/>
        <v>6.4370593255596198</v>
      </c>
      <c r="BV18">
        <f t="shared" ca="1" si="9"/>
        <v>6.5082756429253479</v>
      </c>
      <c r="BW18">
        <f t="shared" ca="1" si="9"/>
        <v>7.0738144325005443</v>
      </c>
      <c r="BX18">
        <f t="shared" ca="1" si="9"/>
        <v>8.1469870531780053</v>
      </c>
      <c r="BY18">
        <f t="shared" ca="1" si="8"/>
        <v>8.2100696727591878</v>
      </c>
      <c r="BZ18">
        <f t="shared" ca="1" si="8"/>
        <v>9.2957395525964728</v>
      </c>
      <c r="CA18">
        <f t="shared" ca="1" si="8"/>
        <v>7.9082829748950099</v>
      </c>
      <c r="CB18">
        <f t="shared" ca="1" si="8"/>
        <v>7.9036761825222408</v>
      </c>
      <c r="CC18">
        <f t="shared" ca="1" si="8"/>
        <v>8.7312790993772218</v>
      </c>
      <c r="CD18">
        <f t="shared" ca="1" si="8"/>
        <v>8.4265555710639077</v>
      </c>
      <c r="CE18">
        <f t="shared" ca="1" si="8"/>
        <v>9.7471487630463312</v>
      </c>
      <c r="CF18">
        <f t="shared" ca="1" si="8"/>
        <v>10.792964223759171</v>
      </c>
      <c r="CG18">
        <f t="shared" ca="1" si="8"/>
        <v>10.896123205268896</v>
      </c>
      <c r="CH18">
        <f t="shared" ca="1" si="8"/>
        <v>11.947626799527871</v>
      </c>
      <c r="CI18">
        <f t="shared" ca="1" si="8"/>
        <v>12.065275853734381</v>
      </c>
      <c r="CJ18">
        <f t="shared" ca="1" si="8"/>
        <v>10.89671938367194</v>
      </c>
      <c r="CK18">
        <f t="shared" ca="1" si="8"/>
        <v>10.749883539198452</v>
      </c>
      <c r="CL18">
        <f t="shared" ca="1" si="8"/>
        <v>8.2075966590645599</v>
      </c>
      <c r="CM18">
        <f t="shared" ca="1" si="8"/>
        <v>7.7264465290586442</v>
      </c>
      <c r="CN18">
        <f t="shared" ca="1" si="8"/>
        <v>6.4791020630992264</v>
      </c>
      <c r="CO18">
        <f t="shared" ca="1" si="8"/>
        <v>8.8995931850714687</v>
      </c>
      <c r="CP18">
        <f t="shared" ca="1" si="8"/>
        <v>10.234239371812047</v>
      </c>
      <c r="CQ18">
        <f t="shared" ca="1" si="8"/>
        <v>8.4600126097366051</v>
      </c>
      <c r="CR18">
        <f t="shared" ca="1" si="8"/>
        <v>7.9875260069556289</v>
      </c>
      <c r="CS18">
        <f t="shared" ca="1" si="8"/>
        <v>6.7800490212354818</v>
      </c>
      <c r="CT18">
        <f t="shared" ca="1" si="8"/>
        <v>7.5781130448526675</v>
      </c>
      <c r="CU18">
        <f t="shared" ca="1" si="8"/>
        <v>8.4711484554241725</v>
      </c>
      <c r="CV18">
        <f t="shared" ca="1" si="8"/>
        <v>6.845112796358209</v>
      </c>
      <c r="CW18">
        <f t="shared" ca="1" si="8"/>
        <v>7.0574127947157228</v>
      </c>
      <c r="CX18">
        <f t="shared" ca="1" si="8"/>
        <v>7.278678064120176</v>
      </c>
      <c r="CY18">
        <f t="shared" ca="1" si="8"/>
        <v>5.1141381869543263</v>
      </c>
      <c r="CZ18">
        <f t="shared" ca="1" si="8"/>
        <v>5.2211668507479247</v>
      </c>
      <c r="DA18">
        <f t="shared" ca="1" si="8"/>
        <v>4.6144577365710662</v>
      </c>
      <c r="DB18">
        <f t="shared" ca="1" si="8"/>
        <v>4.2718695824451789</v>
      </c>
      <c r="DC18">
        <f t="shared" ca="1" si="8"/>
        <v>4.3872741267278963</v>
      </c>
      <c r="DD18">
        <f t="shared" ca="1" si="8"/>
        <v>4.1934845813650163</v>
      </c>
      <c r="DE18">
        <f t="shared" ca="1" si="8"/>
        <v>4.7822569347584345</v>
      </c>
      <c r="DF18">
        <f t="shared" ca="1" si="8"/>
        <v>4.6012742406946945</v>
      </c>
      <c r="DG18">
        <f t="shared" ca="1" si="8"/>
        <v>4.5634171694277912</v>
      </c>
    </row>
    <row r="19" spans="1:111">
      <c r="A19" s="2">
        <v>45952</v>
      </c>
      <c r="B19">
        <v>257.49880981445313</v>
      </c>
      <c r="C19">
        <f t="shared" si="0"/>
        <v>-7.1991546567692797E-3</v>
      </c>
      <c r="J19">
        <v>10</v>
      </c>
      <c r="K19">
        <f t="shared" si="6"/>
        <v>0</v>
      </c>
      <c r="L19">
        <f t="shared" ca="1" si="5"/>
        <v>-0.69147820644940705</v>
      </c>
      <c r="M19">
        <f t="shared" ca="1" si="9"/>
        <v>-0.82744087528321408</v>
      </c>
      <c r="N19">
        <f t="shared" ca="1" si="9"/>
        <v>-0.73839750617932864</v>
      </c>
      <c r="O19">
        <f t="shared" ca="1" si="9"/>
        <v>0.88589458208649519</v>
      </c>
      <c r="P19">
        <f t="shared" ca="1" si="9"/>
        <v>2.2466744839091715</v>
      </c>
      <c r="Q19">
        <f t="shared" ca="1" si="9"/>
        <v>2.7817073842534974</v>
      </c>
      <c r="R19">
        <f t="shared" ca="1" si="9"/>
        <v>2.8216336197665264</v>
      </c>
      <c r="S19">
        <f t="shared" ca="1" si="9"/>
        <v>3.117323738518806</v>
      </c>
      <c r="T19">
        <f t="shared" ca="1" si="9"/>
        <v>3.1059889791628428</v>
      </c>
      <c r="U19">
        <f t="shared" ca="1" si="9"/>
        <v>1.9092882282384587</v>
      </c>
      <c r="V19">
        <f t="shared" ca="1" si="9"/>
        <v>2.0781506024483702</v>
      </c>
      <c r="W19">
        <f t="shared" ca="1" si="9"/>
        <v>0.80217950987186337</v>
      </c>
      <c r="X19">
        <f t="shared" ca="1" si="9"/>
        <v>-1.5949836188480895</v>
      </c>
      <c r="Y19">
        <f t="shared" ca="1" si="9"/>
        <v>-0.25973900952290951</v>
      </c>
      <c r="Z19">
        <f t="shared" ca="1" si="9"/>
        <v>0.34587748760425674</v>
      </c>
      <c r="AA19">
        <f t="shared" ca="1" si="9"/>
        <v>-0.42989602427285167</v>
      </c>
      <c r="AB19">
        <f t="shared" ca="1" si="9"/>
        <v>-0.32714030172164354</v>
      </c>
      <c r="AC19">
        <f t="shared" ca="1" si="9"/>
        <v>-1.1499076979400606</v>
      </c>
      <c r="AD19">
        <f t="shared" ca="1" si="9"/>
        <v>7.4912032658090544E-2</v>
      </c>
      <c r="AE19">
        <f t="shared" ca="1" si="9"/>
        <v>-1.0222141723050839</v>
      </c>
      <c r="AF19">
        <f t="shared" ca="1" si="9"/>
        <v>-0.67419037159885908</v>
      </c>
      <c r="AG19">
        <f t="shared" ca="1" si="9"/>
        <v>-1.0810503845780599</v>
      </c>
      <c r="AH19">
        <f t="shared" ca="1" si="9"/>
        <v>5.2438327033590193E-2</v>
      </c>
      <c r="AI19">
        <f t="shared" ca="1" si="9"/>
        <v>1.1379471708407198</v>
      </c>
      <c r="AJ19">
        <f t="shared" ca="1" si="9"/>
        <v>1.5330616118602598</v>
      </c>
      <c r="AK19">
        <f t="shared" ca="1" si="9"/>
        <v>2.6607143131484996</v>
      </c>
      <c r="AL19">
        <f t="shared" ca="1" si="9"/>
        <v>2.1775639847866657</v>
      </c>
      <c r="AM19">
        <f t="shared" ca="1" si="9"/>
        <v>1.6445043726195618</v>
      </c>
      <c r="AN19">
        <f t="shared" ca="1" si="9"/>
        <v>0.41049208741352516</v>
      </c>
      <c r="AO19">
        <f t="shared" ca="1" si="9"/>
        <v>1.1282169403270386</v>
      </c>
      <c r="AP19">
        <f t="shared" ca="1" si="9"/>
        <v>-0.28016639728098114</v>
      </c>
      <c r="AQ19">
        <f t="shared" ca="1" si="9"/>
        <v>-0.80666983151654503</v>
      </c>
      <c r="AR19">
        <f t="shared" ca="1" si="9"/>
        <v>0.15068810224417162</v>
      </c>
      <c r="AS19">
        <f t="shared" ca="1" si="9"/>
        <v>1.5433648508371571</v>
      </c>
      <c r="AT19">
        <f t="shared" ca="1" si="9"/>
        <v>2.3855292694414394</v>
      </c>
      <c r="AU19">
        <f t="shared" ca="1" si="9"/>
        <v>1.4000094432400005</v>
      </c>
      <c r="AV19">
        <f t="shared" ca="1" si="9"/>
        <v>1.4349443862344762</v>
      </c>
      <c r="AW19">
        <f t="shared" ca="1" si="9"/>
        <v>3.2804402112507738</v>
      </c>
      <c r="AX19">
        <f t="shared" ca="1" si="9"/>
        <v>2.6491436598651328</v>
      </c>
      <c r="AY19">
        <f t="shared" ca="1" si="9"/>
        <v>3.3804636054038908</v>
      </c>
      <c r="AZ19">
        <f t="shared" ca="1" si="9"/>
        <v>2.4700218526519051</v>
      </c>
      <c r="BA19">
        <f t="shared" ca="1" si="9"/>
        <v>2.4654413504502153</v>
      </c>
      <c r="BB19">
        <f t="shared" ca="1" si="9"/>
        <v>3.1020148825737452</v>
      </c>
      <c r="BC19">
        <f t="shared" ca="1" si="9"/>
        <v>3.5100617601279205</v>
      </c>
      <c r="BD19">
        <f t="shared" ca="1" si="9"/>
        <v>3.946864042494461</v>
      </c>
      <c r="BE19">
        <f t="shared" ca="1" si="9"/>
        <v>3.3159210313098209</v>
      </c>
      <c r="BF19">
        <f t="shared" ca="1" si="9"/>
        <v>2.623826383229539</v>
      </c>
      <c r="BG19">
        <f t="shared" ca="1" si="9"/>
        <v>3.6630261314777255</v>
      </c>
      <c r="BH19">
        <f t="shared" ca="1" si="9"/>
        <v>2.4282242452117924</v>
      </c>
      <c r="BI19">
        <f t="shared" ca="1" si="9"/>
        <v>3.3675424862507413</v>
      </c>
      <c r="BJ19">
        <f t="shared" ca="1" si="9"/>
        <v>3.5918012457348647</v>
      </c>
      <c r="BK19">
        <f t="shared" ca="1" si="9"/>
        <v>4.2052231079659714</v>
      </c>
      <c r="BL19">
        <f t="shared" ca="1" si="9"/>
        <v>3.5311278886691539</v>
      </c>
      <c r="BM19">
        <f t="shared" ca="1" si="9"/>
        <v>2.7886104963565912</v>
      </c>
      <c r="BN19">
        <f t="shared" ca="1" si="9"/>
        <v>3.1626613276260795</v>
      </c>
      <c r="BO19">
        <f t="shared" ca="1" si="9"/>
        <v>3.5081892088312943</v>
      </c>
      <c r="BP19">
        <f t="shared" ca="1" si="9"/>
        <v>3.8065017163610646</v>
      </c>
      <c r="BQ19">
        <f t="shared" ca="1" si="9"/>
        <v>2.3081903275973836</v>
      </c>
      <c r="BR19">
        <f t="shared" ca="1" si="9"/>
        <v>1.5603938661313004</v>
      </c>
      <c r="BS19">
        <f t="shared" ca="1" si="9"/>
        <v>-1.2098728781715273</v>
      </c>
      <c r="BT19">
        <f t="shared" ca="1" si="9"/>
        <v>-2.695758480839376</v>
      </c>
      <c r="BU19">
        <f t="shared" ca="1" si="9"/>
        <v>-2.4374931487176252</v>
      </c>
      <c r="BV19">
        <f t="shared" ca="1" si="9"/>
        <v>-2.8274591195604413</v>
      </c>
      <c r="BW19">
        <f t="shared" ca="1" si="9"/>
        <v>-2.7173988270820382</v>
      </c>
      <c r="BX19">
        <f t="shared" ref="BX19:DG19" ca="1" si="10">+BW19+$G$11*NORMSINV(RAND())</f>
        <v>-4.4336974700923353</v>
      </c>
      <c r="BY19">
        <f t="shared" ca="1" si="10"/>
        <v>-4.1555955786777714</v>
      </c>
      <c r="BZ19">
        <f t="shared" ca="1" si="10"/>
        <v>-4.9394278591047174</v>
      </c>
      <c r="CA19">
        <f t="shared" ca="1" si="10"/>
        <v>-4.8880284407655274</v>
      </c>
      <c r="CB19">
        <f t="shared" ca="1" si="10"/>
        <v>-6.1130813109248319</v>
      </c>
      <c r="CC19">
        <f t="shared" ca="1" si="10"/>
        <v>-6.6160491288763037</v>
      </c>
      <c r="CD19">
        <f t="shared" ca="1" si="10"/>
        <v>-6.1808211139440719</v>
      </c>
      <c r="CE19">
        <f t="shared" ca="1" si="10"/>
        <v>-8.5265757243624165</v>
      </c>
      <c r="CF19">
        <f t="shared" ca="1" si="10"/>
        <v>-9.301370477836393</v>
      </c>
      <c r="CG19">
        <f t="shared" ca="1" si="10"/>
        <v>-9.147513375774631</v>
      </c>
      <c r="CH19">
        <f t="shared" ca="1" si="10"/>
        <v>-10.605930461435035</v>
      </c>
      <c r="CI19">
        <f t="shared" ca="1" si="10"/>
        <v>-10.350430175731681</v>
      </c>
      <c r="CJ19">
        <f t="shared" ca="1" si="10"/>
        <v>-10.59963072029217</v>
      </c>
      <c r="CK19">
        <f t="shared" ca="1" si="10"/>
        <v>-9.7012346430972389</v>
      </c>
      <c r="CL19">
        <f t="shared" ca="1" si="10"/>
        <v>-9.9419882247752973</v>
      </c>
      <c r="CM19">
        <f t="shared" ca="1" si="10"/>
        <v>-9.7053923690600268</v>
      </c>
      <c r="CN19">
        <f t="shared" ca="1" si="10"/>
        <v>-9.7924405903022897</v>
      </c>
      <c r="CO19">
        <f t="shared" ca="1" si="10"/>
        <v>-9.8263475291463696</v>
      </c>
      <c r="CP19">
        <f t="shared" ca="1" si="10"/>
        <v>-9.8034357881294554</v>
      </c>
      <c r="CQ19">
        <f t="shared" ca="1" si="10"/>
        <v>-9.534405760739654</v>
      </c>
      <c r="CR19">
        <f t="shared" ca="1" si="10"/>
        <v>-9.4958937708335895</v>
      </c>
      <c r="CS19">
        <f t="shared" ca="1" si="10"/>
        <v>-10.121616933860198</v>
      </c>
      <c r="CT19">
        <f t="shared" ca="1" si="10"/>
        <v>-10.198216214893026</v>
      </c>
      <c r="CU19">
        <f t="shared" ca="1" si="10"/>
        <v>-9.4028542473313976</v>
      </c>
      <c r="CV19">
        <f t="shared" ca="1" si="10"/>
        <v>-9.912143760048421</v>
      </c>
      <c r="CW19">
        <f t="shared" ca="1" si="10"/>
        <v>-9.2682627408847882</v>
      </c>
      <c r="CX19">
        <f t="shared" ca="1" si="10"/>
        <v>-9.9409528080521756</v>
      </c>
      <c r="CY19">
        <f t="shared" ca="1" si="10"/>
        <v>-10.589928769670045</v>
      </c>
      <c r="CZ19">
        <f t="shared" ca="1" si="10"/>
        <v>-10.643404592661076</v>
      </c>
      <c r="DA19">
        <f t="shared" ca="1" si="10"/>
        <v>-10.162282224627624</v>
      </c>
      <c r="DB19">
        <f t="shared" ca="1" si="10"/>
        <v>-9.7249612942498178</v>
      </c>
      <c r="DC19">
        <f t="shared" ca="1" si="10"/>
        <v>-9.8868719515635526</v>
      </c>
      <c r="DD19">
        <f t="shared" ca="1" si="10"/>
        <v>-8.5254059252489718</v>
      </c>
      <c r="DE19">
        <f t="shared" ca="1" si="10"/>
        <v>-6.7713027576535882</v>
      </c>
      <c r="DF19">
        <f t="shared" ca="1" si="10"/>
        <v>-6.4745902604204453</v>
      </c>
      <c r="DG19">
        <f t="shared" ca="1" si="10"/>
        <v>-6.5953343843768693</v>
      </c>
    </row>
    <row r="20" spans="1:111">
      <c r="A20" s="2">
        <v>45953</v>
      </c>
      <c r="B20">
        <v>258.62460327148438</v>
      </c>
      <c r="C20">
        <f t="shared" si="0"/>
        <v>1.8946114404754424E-3</v>
      </c>
    </row>
    <row r="21" spans="1:111">
      <c r="A21" s="2">
        <v>45954</v>
      </c>
      <c r="B21">
        <v>261.85275268554688</v>
      </c>
      <c r="C21">
        <f t="shared" si="0"/>
        <v>5.3873062440901219E-3</v>
      </c>
      <c r="J21" t="s">
        <v>24</v>
      </c>
    </row>
    <row r="22" spans="1:111">
      <c r="A22" s="2">
        <v>45957</v>
      </c>
      <c r="B22">
        <v>267.8206787109375</v>
      </c>
      <c r="C22">
        <f t="shared" si="0"/>
        <v>9.7869625822502564E-3</v>
      </c>
      <c r="K22">
        <v>0</v>
      </c>
      <c r="L22">
        <v>1</v>
      </c>
      <c r="M22">
        <f>+L22+1</f>
        <v>2</v>
      </c>
      <c r="N22">
        <f t="shared" ref="N22:AK22" si="11">+M22+1</f>
        <v>3</v>
      </c>
      <c r="O22">
        <f t="shared" si="11"/>
        <v>4</v>
      </c>
      <c r="P22">
        <f t="shared" si="11"/>
        <v>5</v>
      </c>
      <c r="Q22">
        <f t="shared" si="11"/>
        <v>6</v>
      </c>
      <c r="R22">
        <f t="shared" si="11"/>
        <v>7</v>
      </c>
      <c r="S22">
        <f t="shared" si="11"/>
        <v>8</v>
      </c>
      <c r="T22">
        <f t="shared" si="11"/>
        <v>9</v>
      </c>
      <c r="U22">
        <f t="shared" si="11"/>
        <v>10</v>
      </c>
      <c r="V22">
        <f t="shared" si="11"/>
        <v>11</v>
      </c>
      <c r="W22">
        <f t="shared" si="11"/>
        <v>12</v>
      </c>
      <c r="X22">
        <f t="shared" si="11"/>
        <v>13</v>
      </c>
      <c r="Y22">
        <f t="shared" si="11"/>
        <v>14</v>
      </c>
      <c r="Z22">
        <f t="shared" si="11"/>
        <v>15</v>
      </c>
      <c r="AA22">
        <f t="shared" si="11"/>
        <v>16</v>
      </c>
      <c r="AB22">
        <f t="shared" si="11"/>
        <v>17</v>
      </c>
      <c r="AC22">
        <f t="shared" si="11"/>
        <v>18</v>
      </c>
      <c r="AD22">
        <f t="shared" si="11"/>
        <v>19</v>
      </c>
      <c r="AE22">
        <f t="shared" si="11"/>
        <v>20</v>
      </c>
      <c r="AF22">
        <f t="shared" si="11"/>
        <v>21</v>
      </c>
      <c r="AG22">
        <f t="shared" si="11"/>
        <v>22</v>
      </c>
      <c r="AH22">
        <f t="shared" si="11"/>
        <v>23</v>
      </c>
      <c r="AI22">
        <f t="shared" si="11"/>
        <v>24</v>
      </c>
      <c r="AJ22">
        <f t="shared" si="11"/>
        <v>25</v>
      </c>
      <c r="AK22">
        <f t="shared" si="11"/>
        <v>26</v>
      </c>
      <c r="AL22">
        <f>+AK22+1</f>
        <v>27</v>
      </c>
      <c r="AM22">
        <f t="shared" ref="AM22:CX22" si="12">+AL22+1</f>
        <v>28</v>
      </c>
      <c r="AN22">
        <f t="shared" si="12"/>
        <v>29</v>
      </c>
      <c r="AO22">
        <f t="shared" si="12"/>
        <v>30</v>
      </c>
      <c r="AP22">
        <f t="shared" si="12"/>
        <v>31</v>
      </c>
      <c r="AQ22">
        <f t="shared" si="12"/>
        <v>32</v>
      </c>
      <c r="AR22">
        <f t="shared" si="12"/>
        <v>33</v>
      </c>
      <c r="AS22">
        <f t="shared" si="12"/>
        <v>34</v>
      </c>
      <c r="AT22">
        <f t="shared" si="12"/>
        <v>35</v>
      </c>
      <c r="AU22">
        <f t="shared" si="12"/>
        <v>36</v>
      </c>
      <c r="AV22">
        <f t="shared" si="12"/>
        <v>37</v>
      </c>
      <c r="AW22">
        <f t="shared" si="12"/>
        <v>38</v>
      </c>
      <c r="AX22">
        <f t="shared" si="12"/>
        <v>39</v>
      </c>
      <c r="AY22">
        <f t="shared" si="12"/>
        <v>40</v>
      </c>
      <c r="AZ22">
        <f t="shared" si="12"/>
        <v>41</v>
      </c>
      <c r="BA22">
        <f t="shared" si="12"/>
        <v>42</v>
      </c>
      <c r="BB22">
        <f t="shared" si="12"/>
        <v>43</v>
      </c>
      <c r="BC22">
        <f t="shared" si="12"/>
        <v>44</v>
      </c>
      <c r="BD22">
        <f t="shared" si="12"/>
        <v>45</v>
      </c>
      <c r="BE22">
        <f t="shared" si="12"/>
        <v>46</v>
      </c>
      <c r="BF22">
        <f t="shared" si="12"/>
        <v>47</v>
      </c>
      <c r="BG22">
        <f t="shared" si="12"/>
        <v>48</v>
      </c>
      <c r="BH22">
        <f t="shared" si="12"/>
        <v>49</v>
      </c>
      <c r="BI22">
        <f t="shared" si="12"/>
        <v>50</v>
      </c>
      <c r="BJ22">
        <f t="shared" si="12"/>
        <v>51</v>
      </c>
      <c r="BK22">
        <f t="shared" si="12"/>
        <v>52</v>
      </c>
      <c r="BL22">
        <f t="shared" si="12"/>
        <v>53</v>
      </c>
      <c r="BM22">
        <f t="shared" si="12"/>
        <v>54</v>
      </c>
      <c r="BN22">
        <f t="shared" si="12"/>
        <v>55</v>
      </c>
      <c r="BO22">
        <f t="shared" si="12"/>
        <v>56</v>
      </c>
      <c r="BP22">
        <f t="shared" si="12"/>
        <v>57</v>
      </c>
      <c r="BQ22">
        <f t="shared" si="12"/>
        <v>58</v>
      </c>
      <c r="BR22">
        <f t="shared" si="12"/>
        <v>59</v>
      </c>
      <c r="BS22">
        <f t="shared" si="12"/>
        <v>60</v>
      </c>
      <c r="BT22">
        <f t="shared" si="12"/>
        <v>61</v>
      </c>
      <c r="BU22">
        <f t="shared" si="12"/>
        <v>62</v>
      </c>
      <c r="BV22">
        <f t="shared" si="12"/>
        <v>63</v>
      </c>
      <c r="BW22">
        <f t="shared" si="12"/>
        <v>64</v>
      </c>
      <c r="BX22">
        <f t="shared" si="12"/>
        <v>65</v>
      </c>
      <c r="BY22">
        <f t="shared" si="12"/>
        <v>66</v>
      </c>
      <c r="BZ22">
        <f t="shared" si="12"/>
        <v>67</v>
      </c>
      <c r="CA22">
        <f t="shared" si="12"/>
        <v>68</v>
      </c>
      <c r="CB22">
        <f t="shared" si="12"/>
        <v>69</v>
      </c>
      <c r="CC22">
        <f t="shared" si="12"/>
        <v>70</v>
      </c>
      <c r="CD22">
        <f t="shared" si="12"/>
        <v>71</v>
      </c>
      <c r="CE22">
        <f t="shared" si="12"/>
        <v>72</v>
      </c>
      <c r="CF22">
        <f t="shared" si="12"/>
        <v>73</v>
      </c>
      <c r="CG22">
        <f t="shared" si="12"/>
        <v>74</v>
      </c>
      <c r="CH22">
        <f t="shared" si="12"/>
        <v>75</v>
      </c>
      <c r="CI22">
        <f t="shared" si="12"/>
        <v>76</v>
      </c>
      <c r="CJ22">
        <f t="shared" si="12"/>
        <v>77</v>
      </c>
      <c r="CK22">
        <f t="shared" si="12"/>
        <v>78</v>
      </c>
      <c r="CL22">
        <f t="shared" si="12"/>
        <v>79</v>
      </c>
      <c r="CM22">
        <f t="shared" si="12"/>
        <v>80</v>
      </c>
      <c r="CN22">
        <f t="shared" si="12"/>
        <v>81</v>
      </c>
      <c r="CO22">
        <f t="shared" si="12"/>
        <v>82</v>
      </c>
      <c r="CP22">
        <f t="shared" si="12"/>
        <v>83</v>
      </c>
      <c r="CQ22">
        <f t="shared" si="12"/>
        <v>84</v>
      </c>
      <c r="CR22">
        <f t="shared" si="12"/>
        <v>85</v>
      </c>
      <c r="CS22">
        <f t="shared" si="12"/>
        <v>86</v>
      </c>
      <c r="CT22">
        <f t="shared" si="12"/>
        <v>87</v>
      </c>
      <c r="CU22">
        <f t="shared" si="12"/>
        <v>88</v>
      </c>
      <c r="CV22">
        <f t="shared" si="12"/>
        <v>89</v>
      </c>
      <c r="CW22">
        <f t="shared" si="12"/>
        <v>90</v>
      </c>
      <c r="CX22">
        <f t="shared" si="12"/>
        <v>91</v>
      </c>
      <c r="CY22">
        <f t="shared" ref="CY22:DG22" si="13">+CX22+1</f>
        <v>92</v>
      </c>
      <c r="CZ22">
        <f t="shared" si="13"/>
        <v>93</v>
      </c>
      <c r="DA22">
        <f t="shared" si="13"/>
        <v>94</v>
      </c>
      <c r="DB22">
        <f t="shared" si="13"/>
        <v>95</v>
      </c>
      <c r="DC22">
        <f t="shared" si="13"/>
        <v>96</v>
      </c>
      <c r="DD22">
        <f t="shared" si="13"/>
        <v>97</v>
      </c>
      <c r="DE22">
        <f t="shared" si="13"/>
        <v>98</v>
      </c>
      <c r="DF22">
        <f t="shared" si="13"/>
        <v>99</v>
      </c>
      <c r="DG22">
        <f t="shared" si="13"/>
        <v>100</v>
      </c>
    </row>
    <row r="23" spans="1:111">
      <c r="A23" s="2">
        <v>45958</v>
      </c>
      <c r="B23">
        <v>268.00997924804688</v>
      </c>
      <c r="C23">
        <f t="shared" si="0"/>
        <v>3.0685882148427738E-4</v>
      </c>
      <c r="J23">
        <v>1</v>
      </c>
      <c r="K23">
        <v>0</v>
      </c>
      <c r="L23">
        <f ca="1">$G$11*NORMSINV(RAND())</f>
        <v>0.54682483010418714</v>
      </c>
      <c r="M23">
        <f t="shared" ref="M23:BX24" ca="1" si="14">$G$11*NORMSINV(RAND())</f>
        <v>-0.21916753921000676</v>
      </c>
      <c r="N23">
        <f t="shared" ca="1" si="14"/>
        <v>-8.2146692051288758E-2</v>
      </c>
      <c r="O23">
        <f t="shared" ca="1" si="14"/>
        <v>-0.28607540631333894</v>
      </c>
      <c r="P23">
        <f t="shared" ca="1" si="14"/>
        <v>-1.0542524282592571</v>
      </c>
      <c r="Q23">
        <f t="shared" ca="1" si="14"/>
        <v>-1.0221656435954829</v>
      </c>
      <c r="R23">
        <f t="shared" ca="1" si="14"/>
        <v>0.38682378391002403</v>
      </c>
      <c r="S23">
        <f t="shared" ca="1" si="14"/>
        <v>1.6010310714844764</v>
      </c>
      <c r="T23">
        <f t="shared" ca="1" si="14"/>
        <v>0.80526604356127718</v>
      </c>
      <c r="U23">
        <f t="shared" ca="1" si="14"/>
        <v>-1.9227763473302748</v>
      </c>
      <c r="V23">
        <f t="shared" ca="1" si="14"/>
        <v>0.96561173075104301</v>
      </c>
      <c r="W23">
        <f t="shared" ca="1" si="14"/>
        <v>0.11306646786665807</v>
      </c>
      <c r="X23">
        <f t="shared" ca="1" si="14"/>
        <v>0.37811065319151282</v>
      </c>
      <c r="Y23">
        <f t="shared" ca="1" si="14"/>
        <v>-0.58603224075309979</v>
      </c>
      <c r="Z23">
        <f t="shared" ca="1" si="14"/>
        <v>0.88070383122643292</v>
      </c>
      <c r="AA23">
        <f t="shared" ca="1" si="14"/>
        <v>0.87314468412620705</v>
      </c>
      <c r="AB23">
        <f t="shared" ca="1" si="14"/>
        <v>-1.5744228550594284</v>
      </c>
      <c r="AC23">
        <f t="shared" ca="1" si="14"/>
        <v>1.123142029231796</v>
      </c>
      <c r="AD23">
        <f t="shared" ca="1" si="14"/>
        <v>0.14863250425820901</v>
      </c>
      <c r="AE23">
        <f t="shared" ca="1" si="14"/>
        <v>1.7643741096629955</v>
      </c>
      <c r="AF23">
        <f t="shared" ca="1" si="14"/>
        <v>2.9131243215425084</v>
      </c>
      <c r="AG23">
        <f t="shared" ca="1" si="14"/>
        <v>-0.24858413340685134</v>
      </c>
      <c r="AH23">
        <f t="shared" ca="1" si="14"/>
        <v>0.16443886026056936</v>
      </c>
      <c r="AI23">
        <f t="shared" ca="1" si="14"/>
        <v>-0.71101490162488312</v>
      </c>
      <c r="AJ23">
        <f t="shared" ca="1" si="14"/>
        <v>1.6931749693067744</v>
      </c>
      <c r="AK23">
        <f t="shared" ca="1" si="14"/>
        <v>0.4138175582116046</v>
      </c>
      <c r="AL23">
        <f t="shared" ca="1" si="14"/>
        <v>0.47097385475160802</v>
      </c>
      <c r="AM23">
        <f t="shared" ca="1" si="14"/>
        <v>-9.3076682826808935E-2</v>
      </c>
      <c r="AN23">
        <f t="shared" ca="1" si="14"/>
        <v>0.30954244872400599</v>
      </c>
      <c r="AO23">
        <f t="shared" ca="1" si="14"/>
        <v>0.94228272773509314</v>
      </c>
      <c r="AP23">
        <f t="shared" ca="1" si="14"/>
        <v>-0.16312884741627723</v>
      </c>
      <c r="AQ23">
        <f t="shared" ca="1" si="14"/>
        <v>-0.17457504472240815</v>
      </c>
      <c r="AR23">
        <f t="shared" ca="1" si="14"/>
        <v>0.20247107651645027</v>
      </c>
      <c r="AS23">
        <f t="shared" ca="1" si="14"/>
        <v>-4.6977670538023569E-2</v>
      </c>
      <c r="AT23">
        <f t="shared" ca="1" si="14"/>
        <v>0.64098488300643641</v>
      </c>
      <c r="AU23">
        <f t="shared" ca="1" si="14"/>
        <v>4.4690362044715895E-2</v>
      </c>
      <c r="AV23">
        <f t="shared" ca="1" si="14"/>
        <v>0.98381266837522086</v>
      </c>
      <c r="AW23">
        <f t="shared" ca="1" si="14"/>
        <v>-0.60257468950288662</v>
      </c>
      <c r="AX23">
        <f t="shared" ca="1" si="14"/>
        <v>-1.7441901908654538</v>
      </c>
      <c r="AY23">
        <f t="shared" ca="1" si="14"/>
        <v>5.8195539468858963E-2</v>
      </c>
      <c r="AZ23">
        <f t="shared" ca="1" si="14"/>
        <v>0.4354059187776736</v>
      </c>
      <c r="BA23">
        <f t="shared" ca="1" si="14"/>
        <v>-0.54854417084061124</v>
      </c>
      <c r="BB23">
        <f t="shared" ca="1" si="14"/>
        <v>-0.46520939465637201</v>
      </c>
      <c r="BC23">
        <f t="shared" ca="1" si="14"/>
        <v>0.42451500776336298</v>
      </c>
      <c r="BD23">
        <f t="shared" ca="1" si="14"/>
        <v>-0.92163754288864386</v>
      </c>
      <c r="BE23">
        <f t="shared" ca="1" si="14"/>
        <v>1.1100136579559536</v>
      </c>
      <c r="BF23">
        <f t="shared" ca="1" si="14"/>
        <v>-0.18368657025007246</v>
      </c>
      <c r="BG23">
        <f t="shared" ca="1" si="14"/>
        <v>0.4282019627963089</v>
      </c>
      <c r="BH23">
        <f t="shared" ca="1" si="14"/>
        <v>-1.4630495131771184</v>
      </c>
      <c r="BI23">
        <f t="shared" ca="1" si="14"/>
        <v>-0.11772263889064574</v>
      </c>
      <c r="BJ23">
        <f t="shared" ca="1" si="14"/>
        <v>0.30076476489969378</v>
      </c>
      <c r="BK23">
        <f t="shared" ca="1" si="14"/>
        <v>-1.3950294514931886E-2</v>
      </c>
      <c r="BL23">
        <f t="shared" ca="1" si="14"/>
        <v>0.32494218911528577</v>
      </c>
      <c r="BM23">
        <f t="shared" ca="1" si="14"/>
        <v>0.10602444819014939</v>
      </c>
      <c r="BN23">
        <f t="shared" ca="1" si="14"/>
        <v>6.1113754289869426E-2</v>
      </c>
      <c r="BO23">
        <f t="shared" ca="1" si="14"/>
        <v>1.3542323055614682</v>
      </c>
      <c r="BP23">
        <f t="shared" ca="1" si="14"/>
        <v>-0.45352715684638545</v>
      </c>
      <c r="BQ23">
        <f t="shared" ca="1" si="14"/>
        <v>-1.5706424691087197</v>
      </c>
      <c r="BR23">
        <f t="shared" ca="1" si="14"/>
        <v>-1.7342080438300003</v>
      </c>
      <c r="BS23">
        <f t="shared" ca="1" si="14"/>
        <v>0.9047294013690873</v>
      </c>
      <c r="BT23">
        <f t="shared" ca="1" si="14"/>
        <v>-1.1071167090521066</v>
      </c>
      <c r="BU23">
        <f t="shared" ca="1" si="14"/>
        <v>0.29545386165828724</v>
      </c>
      <c r="BV23">
        <f t="shared" ca="1" si="14"/>
        <v>-1.5612825012217251</v>
      </c>
      <c r="BW23">
        <f t="shared" ca="1" si="14"/>
        <v>0.73034540282018279</v>
      </c>
      <c r="BX23">
        <f t="shared" ca="1" si="14"/>
        <v>2.1877384874576329</v>
      </c>
      <c r="BY23">
        <f t="shared" ref="BY23:DG27" ca="1" si="15">$G$11*NORMSINV(RAND())</f>
        <v>0.43596927632492899</v>
      </c>
      <c r="BZ23">
        <f t="shared" ca="1" si="15"/>
        <v>1.4312010195289275</v>
      </c>
      <c r="CA23">
        <f t="shared" ca="1" si="15"/>
        <v>-0.11897397563371345</v>
      </c>
      <c r="CB23">
        <f t="shared" ca="1" si="15"/>
        <v>1.2518312688861812</v>
      </c>
      <c r="CC23">
        <f t="shared" ca="1" si="15"/>
        <v>1.0679261042899264</v>
      </c>
      <c r="CD23">
        <f t="shared" ca="1" si="15"/>
        <v>0.96246801203017596</v>
      </c>
      <c r="CE23">
        <f t="shared" ca="1" si="15"/>
        <v>-0.18745915659839082</v>
      </c>
      <c r="CF23">
        <f t="shared" ca="1" si="15"/>
        <v>0.76528960416427028</v>
      </c>
      <c r="CG23">
        <f t="shared" ca="1" si="15"/>
        <v>1.110718624424738</v>
      </c>
      <c r="CH23">
        <f t="shared" ca="1" si="15"/>
        <v>-4.9261971645398965E-2</v>
      </c>
      <c r="CI23">
        <f t="shared" ca="1" si="15"/>
        <v>-8.3652631246340467E-2</v>
      </c>
      <c r="CJ23">
        <f t="shared" ca="1" si="15"/>
        <v>0.76174714104397978</v>
      </c>
      <c r="CK23">
        <f t="shared" ca="1" si="15"/>
        <v>-1.8866924200173292</v>
      </c>
      <c r="CL23">
        <f t="shared" ca="1" si="15"/>
        <v>0.64543245967663188</v>
      </c>
      <c r="CM23">
        <f t="shared" ca="1" si="15"/>
        <v>-0.52357315387609682</v>
      </c>
      <c r="CN23">
        <f t="shared" ca="1" si="15"/>
        <v>-0.7952598204224377</v>
      </c>
      <c r="CO23">
        <f t="shared" ca="1" si="15"/>
        <v>1.1322052262686013</v>
      </c>
      <c r="CP23">
        <f t="shared" ca="1" si="15"/>
        <v>1.8108479047296315</v>
      </c>
      <c r="CQ23">
        <f t="shared" ca="1" si="15"/>
        <v>-0.53984846355031146</v>
      </c>
      <c r="CR23">
        <f t="shared" ca="1" si="15"/>
        <v>-0.85791953138435162</v>
      </c>
      <c r="CS23">
        <f t="shared" ca="1" si="15"/>
        <v>-0.61167242261619093</v>
      </c>
      <c r="CT23">
        <f t="shared" ca="1" si="15"/>
        <v>-0.1387657847907387</v>
      </c>
      <c r="CU23">
        <f t="shared" ca="1" si="15"/>
        <v>0.70031582289237504</v>
      </c>
      <c r="CV23">
        <f t="shared" ca="1" si="15"/>
        <v>0.12755454219651199</v>
      </c>
      <c r="CW23">
        <f t="shared" ca="1" si="15"/>
        <v>-0.35740159567737773</v>
      </c>
      <c r="CX23">
        <f t="shared" ca="1" si="15"/>
        <v>-0.10846840119288788</v>
      </c>
      <c r="CY23">
        <f t="shared" ca="1" si="15"/>
        <v>0.17490252380289376</v>
      </c>
      <c r="CZ23">
        <f t="shared" ca="1" si="15"/>
        <v>-1.3982416284379291</v>
      </c>
      <c r="DA23">
        <f t="shared" ca="1" si="15"/>
        <v>-0.68179949056473121</v>
      </c>
      <c r="DB23">
        <f t="shared" ca="1" si="15"/>
        <v>1.0368780352832303</v>
      </c>
      <c r="DC23">
        <f t="shared" ca="1" si="15"/>
        <v>-0.59236099163103428</v>
      </c>
      <c r="DD23">
        <f t="shared" ca="1" si="15"/>
        <v>0.7562235839409055</v>
      </c>
      <c r="DE23">
        <f t="shared" ca="1" si="15"/>
        <v>-0.11365935804568672</v>
      </c>
      <c r="DF23">
        <f t="shared" ca="1" si="15"/>
        <v>0.96726815668733868</v>
      </c>
      <c r="DG23">
        <f t="shared" ca="1" si="15"/>
        <v>-0.17245960923423145</v>
      </c>
    </row>
    <row r="24" spans="1:111">
      <c r="A24" s="2">
        <v>45959</v>
      </c>
      <c r="B24">
        <v>268.7073974609375</v>
      </c>
      <c r="C24">
        <f t="shared" si="0"/>
        <v>1.1286575208949931E-3</v>
      </c>
      <c r="J24">
        <v>2</v>
      </c>
      <c r="K24">
        <f>+K23</f>
        <v>0</v>
      </c>
      <c r="L24">
        <f t="shared" ref="L24:AA32" ca="1" si="16">$G$11*NORMSINV(RAND())</f>
        <v>0.19858699383578024</v>
      </c>
      <c r="M24">
        <f t="shared" ca="1" si="16"/>
        <v>-0.99006906047159249</v>
      </c>
      <c r="N24">
        <f t="shared" ca="1" si="16"/>
        <v>-1.6546883901947822</v>
      </c>
      <c r="O24">
        <f t="shared" ca="1" si="16"/>
        <v>1.0681603866643252</v>
      </c>
      <c r="P24">
        <f t="shared" ca="1" si="16"/>
        <v>2.920764081675757</v>
      </c>
      <c r="Q24">
        <f t="shared" ca="1" si="16"/>
        <v>-0.5742145785836944</v>
      </c>
      <c r="R24">
        <f t="shared" ca="1" si="16"/>
        <v>0.34531975848849533</v>
      </c>
      <c r="S24">
        <f t="shared" ca="1" si="16"/>
        <v>-2.1554575447735305</v>
      </c>
      <c r="T24">
        <f t="shared" ca="1" si="16"/>
        <v>-0.22323535932579994</v>
      </c>
      <c r="U24">
        <f t="shared" ca="1" si="16"/>
        <v>0.7919571445035003</v>
      </c>
      <c r="V24">
        <f t="shared" ca="1" si="16"/>
        <v>1.5113502396482339</v>
      </c>
      <c r="W24">
        <f t="shared" ca="1" si="16"/>
        <v>4.9517837860048319E-2</v>
      </c>
      <c r="X24">
        <f t="shared" ca="1" si="16"/>
        <v>0.89226736632293857</v>
      </c>
      <c r="Y24">
        <f t="shared" ca="1" si="16"/>
        <v>0.34957780263536375</v>
      </c>
      <c r="Z24">
        <f t="shared" ca="1" si="16"/>
        <v>0.19680511897821096</v>
      </c>
      <c r="AA24">
        <f t="shared" ca="1" si="16"/>
        <v>0.59559239142545906</v>
      </c>
      <c r="AB24">
        <f t="shared" ca="1" si="14"/>
        <v>-1.4309620669393357</v>
      </c>
      <c r="AC24">
        <f t="shared" ca="1" si="14"/>
        <v>-0.37079046108895658</v>
      </c>
      <c r="AD24">
        <f t="shared" ca="1" si="14"/>
        <v>2.8193194932430395E-3</v>
      </c>
      <c r="AE24">
        <f t="shared" ca="1" si="14"/>
        <v>-1.5072482838206009</v>
      </c>
      <c r="AF24">
        <f t="shared" ca="1" si="14"/>
        <v>-0.37974974716892873</v>
      </c>
      <c r="AG24">
        <f t="shared" ca="1" si="14"/>
        <v>-0.99584477562538143</v>
      </c>
      <c r="AH24">
        <f t="shared" ca="1" si="14"/>
        <v>1.1825056160483201</v>
      </c>
      <c r="AI24">
        <f t="shared" ca="1" si="14"/>
        <v>-8.3496616300269985E-2</v>
      </c>
      <c r="AJ24">
        <f t="shared" ca="1" si="14"/>
        <v>-0.65090424814106806</v>
      </c>
      <c r="AK24">
        <f t="shared" ca="1" si="14"/>
        <v>-1.2576787512972836</v>
      </c>
      <c r="AL24">
        <f t="shared" ca="1" si="14"/>
        <v>-0.24933167375839593</v>
      </c>
      <c r="AM24">
        <f t="shared" ca="1" si="14"/>
        <v>0.87855608192017376</v>
      </c>
      <c r="AN24">
        <f t="shared" ca="1" si="14"/>
        <v>-0.46458102509030502</v>
      </c>
      <c r="AO24">
        <f t="shared" ca="1" si="14"/>
        <v>-0.74774302794713354</v>
      </c>
      <c r="AP24">
        <f t="shared" ca="1" si="14"/>
        <v>-0.30856187596215695</v>
      </c>
      <c r="AQ24">
        <f t="shared" ca="1" si="14"/>
        <v>-0.21943583586794502</v>
      </c>
      <c r="AR24">
        <f t="shared" ca="1" si="14"/>
        <v>1.0475124823435329</v>
      </c>
      <c r="AS24">
        <f t="shared" ca="1" si="14"/>
        <v>8.5433037623148203E-2</v>
      </c>
      <c r="AT24">
        <f t="shared" ca="1" si="14"/>
        <v>0.18766165009503316</v>
      </c>
      <c r="AU24">
        <f t="shared" ca="1" si="14"/>
        <v>2.3980114897686273</v>
      </c>
      <c r="AV24">
        <f t="shared" ca="1" si="14"/>
        <v>-1.2802284263013906</v>
      </c>
      <c r="AW24">
        <f t="shared" ca="1" si="14"/>
        <v>0.46360091262398773</v>
      </c>
      <c r="AX24">
        <f t="shared" ca="1" si="14"/>
        <v>-0.33687199035044452</v>
      </c>
      <c r="AY24">
        <f t="shared" ca="1" si="14"/>
        <v>0.13685078049644125</v>
      </c>
      <c r="AZ24">
        <f t="shared" ca="1" si="14"/>
        <v>-0.88924925088280526</v>
      </c>
      <c r="BA24">
        <f t="shared" ca="1" si="14"/>
        <v>0.43398865551183352</v>
      </c>
      <c r="BB24">
        <f t="shared" ca="1" si="14"/>
        <v>1.5849610200302984</v>
      </c>
      <c r="BC24">
        <f t="shared" ca="1" si="14"/>
        <v>1.9387765507336197</v>
      </c>
      <c r="BD24">
        <f t="shared" ca="1" si="14"/>
        <v>2.0386807308888244</v>
      </c>
      <c r="BE24">
        <f t="shared" ca="1" si="14"/>
        <v>0.65814074067840656</v>
      </c>
      <c r="BF24">
        <f t="shared" ca="1" si="14"/>
        <v>1.3046416425116509</v>
      </c>
      <c r="BG24">
        <f t="shared" ca="1" si="14"/>
        <v>2.1638277510718012E-3</v>
      </c>
      <c r="BH24">
        <f t="shared" ca="1" si="14"/>
        <v>-0.59312086901901706</v>
      </c>
      <c r="BI24">
        <f t="shared" ca="1" si="14"/>
        <v>-0.8007644758288287</v>
      </c>
      <c r="BJ24">
        <f t="shared" ca="1" si="14"/>
        <v>0.75762199659410934</v>
      </c>
      <c r="BK24">
        <f t="shared" ca="1" si="14"/>
        <v>-1.4695166243773234</v>
      </c>
      <c r="BL24">
        <f t="shared" ca="1" si="14"/>
        <v>0.89125621147482836</v>
      </c>
      <c r="BM24">
        <f t="shared" ca="1" si="14"/>
        <v>1.0882421422219424</v>
      </c>
      <c r="BN24">
        <f t="shared" ca="1" si="14"/>
        <v>1.0579378727480782</v>
      </c>
      <c r="BO24">
        <f t="shared" ca="1" si="14"/>
        <v>1.165697528087952</v>
      </c>
      <c r="BP24">
        <f t="shared" ca="1" si="14"/>
        <v>-0.73672471281952234</v>
      </c>
      <c r="BQ24">
        <f t="shared" ca="1" si="14"/>
        <v>0.64506469315541803</v>
      </c>
      <c r="BR24">
        <f t="shared" ca="1" si="14"/>
        <v>-0.16418381173189919</v>
      </c>
      <c r="BS24">
        <f t="shared" ca="1" si="14"/>
        <v>1.1460282095196033</v>
      </c>
      <c r="BT24">
        <f t="shared" ca="1" si="14"/>
        <v>3.4899600650540825E-2</v>
      </c>
      <c r="BU24">
        <f t="shared" ca="1" si="14"/>
        <v>-0.62109223516111389</v>
      </c>
      <c r="BV24">
        <f t="shared" ca="1" si="14"/>
        <v>-0.28506235391390822</v>
      </c>
      <c r="BW24">
        <f t="shared" ca="1" si="14"/>
        <v>0.68877946744913643</v>
      </c>
      <c r="BX24">
        <f t="shared" ca="1" si="14"/>
        <v>0.961534984671365</v>
      </c>
      <c r="BY24">
        <f t="shared" ca="1" si="15"/>
        <v>0.50476753214210657</v>
      </c>
      <c r="BZ24">
        <f t="shared" ca="1" si="15"/>
        <v>0.92819386041817598</v>
      </c>
      <c r="CA24">
        <f t="shared" ca="1" si="15"/>
        <v>-1.4934927017139334</v>
      </c>
      <c r="CB24">
        <f t="shared" ca="1" si="15"/>
        <v>0.42344149323972102</v>
      </c>
      <c r="CC24">
        <f t="shared" ca="1" si="15"/>
        <v>-1.4777585507801625</v>
      </c>
      <c r="CD24">
        <f t="shared" ca="1" si="15"/>
        <v>1.0391887849479065</v>
      </c>
      <c r="CE24">
        <f t="shared" ca="1" si="15"/>
        <v>-0.12639200775384399</v>
      </c>
      <c r="CF24">
        <f t="shared" ca="1" si="15"/>
        <v>-7.8562049338747206E-2</v>
      </c>
      <c r="CG24">
        <f t="shared" ca="1" si="15"/>
        <v>-0.82107481206225874</v>
      </c>
      <c r="CH24">
        <f t="shared" ca="1" si="15"/>
        <v>-1.9575430402557745</v>
      </c>
      <c r="CI24">
        <f t="shared" ca="1" si="15"/>
        <v>-0.63065028616920482</v>
      </c>
      <c r="CJ24">
        <f t="shared" ca="1" si="15"/>
        <v>-0.61059582838694348</v>
      </c>
      <c r="CK24">
        <f t="shared" ca="1" si="15"/>
        <v>0.5143370884955033</v>
      </c>
      <c r="CL24">
        <f t="shared" ca="1" si="15"/>
        <v>0.66012670520966454</v>
      </c>
      <c r="CM24">
        <f t="shared" ca="1" si="15"/>
        <v>-0.1601362586721741</v>
      </c>
      <c r="CN24">
        <f t="shared" ca="1" si="15"/>
        <v>-1.0519045208790299</v>
      </c>
      <c r="CO24">
        <f t="shared" ca="1" si="15"/>
        <v>0.15596109152175339</v>
      </c>
      <c r="CP24">
        <f t="shared" ca="1" si="15"/>
        <v>-0.59227287043053056</v>
      </c>
      <c r="CQ24">
        <f t="shared" ca="1" si="15"/>
        <v>0.85372442295373696</v>
      </c>
      <c r="CR24">
        <f t="shared" ca="1" si="15"/>
        <v>0.15303928507094422</v>
      </c>
      <c r="CS24">
        <f t="shared" ca="1" si="15"/>
        <v>1.0275291929309334</v>
      </c>
      <c r="CT24">
        <f t="shared" ca="1" si="15"/>
        <v>5.4639475317149112E-2</v>
      </c>
      <c r="CU24">
        <f t="shared" ca="1" si="15"/>
        <v>0.14740672559823328</v>
      </c>
      <c r="CV24">
        <f t="shared" ca="1" si="15"/>
        <v>2.0948644095193609</v>
      </c>
      <c r="CW24">
        <f t="shared" ca="1" si="15"/>
        <v>-0.7045702495033942</v>
      </c>
      <c r="CX24">
        <f t="shared" ca="1" si="15"/>
        <v>-0.32409252116969273</v>
      </c>
      <c r="CY24">
        <f t="shared" ca="1" si="15"/>
        <v>0.69360556745995905</v>
      </c>
      <c r="CZ24">
        <f t="shared" ca="1" si="15"/>
        <v>-0.48796512101560741</v>
      </c>
      <c r="DA24">
        <f t="shared" ca="1" si="15"/>
        <v>-1.2502833449813324</v>
      </c>
      <c r="DB24">
        <f t="shared" ca="1" si="15"/>
        <v>7.4776517101168768E-2</v>
      </c>
      <c r="DC24">
        <f t="shared" ca="1" si="15"/>
        <v>0.4939657410323976</v>
      </c>
      <c r="DD24">
        <f t="shared" ca="1" si="15"/>
        <v>-0.33000909757059849</v>
      </c>
      <c r="DE24">
        <f t="shared" ca="1" si="15"/>
        <v>0.73460417751171314</v>
      </c>
      <c r="DF24">
        <f t="shared" ca="1" si="15"/>
        <v>-2.3396099719991081</v>
      </c>
      <c r="DG24">
        <f t="shared" ca="1" si="15"/>
        <v>-1.5914958939249386</v>
      </c>
    </row>
    <row r="25" spans="1:111">
      <c r="A25" s="2">
        <v>45960</v>
      </c>
      <c r="B25">
        <v>270.401123046875</v>
      </c>
      <c r="C25">
        <f t="shared" si="0"/>
        <v>2.7288683743624626E-3</v>
      </c>
      <c r="J25">
        <v>3</v>
      </c>
      <c r="K25">
        <f t="shared" ref="K25:K32" si="17">+K24</f>
        <v>0</v>
      </c>
      <c r="L25">
        <f t="shared" ca="1" si="16"/>
        <v>-0.43197610925106339</v>
      </c>
      <c r="M25">
        <f t="shared" ref="M25:BX28" ca="1" si="18">$G$11*NORMSINV(RAND())</f>
        <v>-0.68293666342901604</v>
      </c>
      <c r="N25">
        <f t="shared" ca="1" si="18"/>
        <v>-1.5518522166648629</v>
      </c>
      <c r="O25">
        <f t="shared" ca="1" si="18"/>
        <v>-0.29819624643414844</v>
      </c>
      <c r="P25">
        <f t="shared" ca="1" si="18"/>
        <v>0.70536902995823958</v>
      </c>
      <c r="Q25">
        <f t="shared" ca="1" si="18"/>
        <v>0.38410913184823503</v>
      </c>
      <c r="R25">
        <f t="shared" ca="1" si="18"/>
        <v>-1.0193639199849742</v>
      </c>
      <c r="S25">
        <f t="shared" ca="1" si="18"/>
        <v>1.6970747484263284</v>
      </c>
      <c r="T25">
        <f t="shared" ca="1" si="18"/>
        <v>0.48149031242738916</v>
      </c>
      <c r="U25">
        <f t="shared" ca="1" si="18"/>
        <v>0.13517425087664434</v>
      </c>
      <c r="V25">
        <f t="shared" ca="1" si="18"/>
        <v>0.31940583339568113</v>
      </c>
      <c r="W25">
        <f t="shared" ca="1" si="18"/>
        <v>0.27814411612796591</v>
      </c>
      <c r="X25">
        <f t="shared" ca="1" si="18"/>
        <v>1.7246191192380644</v>
      </c>
      <c r="Y25">
        <f t="shared" ca="1" si="18"/>
        <v>1.2726210277378205</v>
      </c>
      <c r="Z25">
        <f t="shared" ca="1" si="18"/>
        <v>0.65345108827514053</v>
      </c>
      <c r="AA25">
        <f t="shared" ca="1" si="18"/>
        <v>-1.1835710343896235</v>
      </c>
      <c r="AB25">
        <f t="shared" ca="1" si="18"/>
        <v>-0.52533943495280633</v>
      </c>
      <c r="AC25">
        <f t="shared" ca="1" si="18"/>
        <v>0.23643925167593785</v>
      </c>
      <c r="AD25">
        <f t="shared" ca="1" si="18"/>
        <v>-0.78041635880604043</v>
      </c>
      <c r="AE25">
        <f t="shared" ca="1" si="18"/>
        <v>0.38779366640947044</v>
      </c>
      <c r="AF25">
        <f t="shared" ca="1" si="18"/>
        <v>2.3879902318116173</v>
      </c>
      <c r="AG25">
        <f t="shared" ca="1" si="18"/>
        <v>0.50631474490181849</v>
      </c>
      <c r="AH25">
        <f t="shared" ca="1" si="18"/>
        <v>1.4554655508198544</v>
      </c>
      <c r="AI25">
        <f t="shared" ca="1" si="18"/>
        <v>0.23856504116439248</v>
      </c>
      <c r="AJ25">
        <f t="shared" ca="1" si="18"/>
        <v>0.23168216921749238</v>
      </c>
      <c r="AK25">
        <f t="shared" ca="1" si="18"/>
        <v>-3.3879117940736815E-2</v>
      </c>
      <c r="AL25">
        <f t="shared" ca="1" si="18"/>
        <v>0.15098313120012941</v>
      </c>
      <c r="AM25">
        <f t="shared" ca="1" si="18"/>
        <v>0.38685888527280576</v>
      </c>
      <c r="AN25">
        <f t="shared" ca="1" si="18"/>
        <v>-0.46475830271106633</v>
      </c>
      <c r="AO25">
        <f t="shared" ca="1" si="18"/>
        <v>1.3206607696238839</v>
      </c>
      <c r="AP25">
        <f t="shared" ca="1" si="18"/>
        <v>0.35195278963581922</v>
      </c>
      <c r="AQ25">
        <f t="shared" ca="1" si="18"/>
        <v>-0.6718153260277655</v>
      </c>
      <c r="AR25">
        <f t="shared" ca="1" si="18"/>
        <v>-0.28691901479688969</v>
      </c>
      <c r="AS25">
        <f t="shared" ca="1" si="18"/>
        <v>3.1830997511431883E-2</v>
      </c>
      <c r="AT25">
        <f t="shared" ca="1" si="18"/>
        <v>-0.27651428479877099</v>
      </c>
      <c r="AU25">
        <f t="shared" ca="1" si="18"/>
        <v>-0.36709156158720124</v>
      </c>
      <c r="AV25">
        <f t="shared" ca="1" si="18"/>
        <v>-0.89575102866786671</v>
      </c>
      <c r="AW25">
        <f t="shared" ca="1" si="18"/>
        <v>0.90257377574252817</v>
      </c>
      <c r="AX25">
        <f t="shared" ca="1" si="18"/>
        <v>-0.21832909896345273</v>
      </c>
      <c r="AY25">
        <f t="shared" ca="1" si="18"/>
        <v>-0.62893263787691089</v>
      </c>
      <c r="AZ25">
        <f t="shared" ca="1" si="18"/>
        <v>-0.57731287515762186</v>
      </c>
      <c r="BA25">
        <f t="shared" ca="1" si="18"/>
        <v>-1.3342276824366175</v>
      </c>
      <c r="BB25">
        <f t="shared" ca="1" si="18"/>
        <v>0.2839325191182151</v>
      </c>
      <c r="BC25">
        <f t="shared" ca="1" si="18"/>
        <v>1.4435355084941575</v>
      </c>
      <c r="BD25">
        <f t="shared" ca="1" si="18"/>
        <v>-0.55484385213605258</v>
      </c>
      <c r="BE25">
        <f t="shared" ca="1" si="18"/>
        <v>0.4851480432942944</v>
      </c>
      <c r="BF25">
        <f t="shared" ca="1" si="18"/>
        <v>-0.91115762337420203</v>
      </c>
      <c r="BG25">
        <f t="shared" ca="1" si="18"/>
        <v>0.20158502750758908</v>
      </c>
      <c r="BH25">
        <f t="shared" ca="1" si="18"/>
        <v>-1.5941545246166271</v>
      </c>
      <c r="BI25">
        <f t="shared" ca="1" si="18"/>
        <v>9.6791667000147852E-3</v>
      </c>
      <c r="BJ25">
        <f t="shared" ca="1" si="18"/>
        <v>-0.36834482952088643</v>
      </c>
      <c r="BK25">
        <f t="shared" ca="1" si="18"/>
        <v>0.8866568671841778</v>
      </c>
      <c r="BL25">
        <f t="shared" ca="1" si="18"/>
        <v>9.2013680086514199E-2</v>
      </c>
      <c r="BM25">
        <f t="shared" ca="1" si="18"/>
        <v>-2.3128542749499807</v>
      </c>
      <c r="BN25">
        <f t="shared" ca="1" si="18"/>
        <v>-0.37177794858846797</v>
      </c>
      <c r="BO25">
        <f t="shared" ca="1" si="18"/>
        <v>-0.76400012380148064</v>
      </c>
      <c r="BP25">
        <f t="shared" ca="1" si="18"/>
        <v>-0.96023721003404727</v>
      </c>
      <c r="BQ25">
        <f t="shared" ca="1" si="18"/>
        <v>-0.50284189919458078</v>
      </c>
      <c r="BR25">
        <f t="shared" ca="1" si="18"/>
        <v>-2.1234031116293477</v>
      </c>
      <c r="BS25">
        <f t="shared" ca="1" si="18"/>
        <v>1.036736947185438</v>
      </c>
      <c r="BT25">
        <f t="shared" ca="1" si="18"/>
        <v>-0.40326669167027085</v>
      </c>
      <c r="BU25">
        <f t="shared" ca="1" si="18"/>
        <v>2.1529743915743116</v>
      </c>
      <c r="BV25">
        <f t="shared" ca="1" si="18"/>
        <v>-1.0534497179214628</v>
      </c>
      <c r="BW25">
        <f t="shared" ca="1" si="18"/>
        <v>-1.0139463957000356</v>
      </c>
      <c r="BX25">
        <f t="shared" ca="1" si="18"/>
        <v>0.51641188223555434</v>
      </c>
      <c r="BY25">
        <f t="shared" ca="1" si="15"/>
        <v>-0.82816667596074844</v>
      </c>
      <c r="BZ25">
        <f t="shared" ca="1" si="15"/>
        <v>0.99324470647605423</v>
      </c>
      <c r="CA25">
        <f t="shared" ca="1" si="15"/>
        <v>-0.73237774794878918</v>
      </c>
      <c r="CB25">
        <f t="shared" ca="1" si="15"/>
        <v>-1.0367061578102732</v>
      </c>
      <c r="CC25">
        <f t="shared" ca="1" si="15"/>
        <v>-0.28342628433924377</v>
      </c>
      <c r="CD25">
        <f t="shared" ca="1" si="15"/>
        <v>-1.292825497826777</v>
      </c>
      <c r="CE25">
        <f t="shared" ca="1" si="15"/>
        <v>0.45495413683259267</v>
      </c>
      <c r="CF25">
        <f t="shared" ca="1" si="15"/>
        <v>-1.7247477675920344</v>
      </c>
      <c r="CG25">
        <f t="shared" ca="1" si="15"/>
        <v>0.69023408693894983</v>
      </c>
      <c r="CH25">
        <f t="shared" ca="1" si="15"/>
        <v>-0.6370791931007137</v>
      </c>
      <c r="CI25">
        <f t="shared" ca="1" si="15"/>
        <v>-0.63460670923866791</v>
      </c>
      <c r="CJ25">
        <f t="shared" ca="1" si="15"/>
        <v>0.50716304387074074</v>
      </c>
      <c r="CK25">
        <f t="shared" ca="1" si="15"/>
        <v>-7.7686498727837103E-2</v>
      </c>
      <c r="CL25">
        <f t="shared" ca="1" si="15"/>
        <v>0.58812720121529427</v>
      </c>
      <c r="CM25">
        <f t="shared" ca="1" si="15"/>
        <v>0.44958964516422223</v>
      </c>
      <c r="CN25">
        <f t="shared" ca="1" si="15"/>
        <v>1.277127679433061</v>
      </c>
      <c r="CO25">
        <f t="shared" ca="1" si="15"/>
        <v>-0.11455840795575106</v>
      </c>
      <c r="CP25">
        <f t="shared" ca="1" si="15"/>
        <v>-0.8853092988434067</v>
      </c>
      <c r="CQ25">
        <f t="shared" ca="1" si="15"/>
        <v>1.7178182127872457</v>
      </c>
      <c r="CR25">
        <f t="shared" ca="1" si="15"/>
        <v>-0.32607332169453723</v>
      </c>
      <c r="CS25">
        <f t="shared" ca="1" si="15"/>
        <v>0.67471541977554872</v>
      </c>
      <c r="CT25">
        <f t="shared" ca="1" si="15"/>
        <v>1.1319281586350389</v>
      </c>
      <c r="CU25">
        <f t="shared" ca="1" si="15"/>
        <v>-0.22921131421380664</v>
      </c>
      <c r="CV25">
        <f t="shared" ca="1" si="15"/>
        <v>4.9337091028388819E-2</v>
      </c>
      <c r="CW25">
        <f t="shared" ca="1" si="15"/>
        <v>-0.23517649121897499</v>
      </c>
      <c r="CX25">
        <f t="shared" ca="1" si="15"/>
        <v>-0.13712651247599073</v>
      </c>
      <c r="CY25">
        <f t="shared" ca="1" si="15"/>
        <v>-1.2915679376185167</v>
      </c>
      <c r="CZ25">
        <f t="shared" ca="1" si="15"/>
        <v>1.9062409523230761</v>
      </c>
      <c r="DA25">
        <f t="shared" ca="1" si="15"/>
        <v>-0.90065083126977197</v>
      </c>
      <c r="DB25">
        <f t="shared" ca="1" si="15"/>
        <v>0.61375735098242168</v>
      </c>
      <c r="DC25">
        <f t="shared" ca="1" si="15"/>
        <v>-1.4259880326338497</v>
      </c>
      <c r="DD25">
        <f t="shared" ca="1" si="15"/>
        <v>-2.3843593899615305</v>
      </c>
      <c r="DE25">
        <f t="shared" ca="1" si="15"/>
        <v>0.28558059345476877</v>
      </c>
      <c r="DF25">
        <f t="shared" ca="1" si="15"/>
        <v>-0.22205210568788142</v>
      </c>
      <c r="DG25">
        <f t="shared" ca="1" si="15"/>
        <v>2.0852512785652313</v>
      </c>
    </row>
    <row r="26" spans="1:111">
      <c r="A26" s="2">
        <v>45961</v>
      </c>
      <c r="B26">
        <v>269.37493896484381</v>
      </c>
      <c r="C26">
        <f t="shared" si="0"/>
        <v>-1.6513019102989853E-3</v>
      </c>
      <c r="J26">
        <v>4</v>
      </c>
      <c r="K26">
        <f t="shared" si="17"/>
        <v>0</v>
      </c>
      <c r="L26">
        <f t="shared" ca="1" si="16"/>
        <v>-0.12110048806937998</v>
      </c>
      <c r="M26">
        <f t="shared" ca="1" si="18"/>
        <v>-1.4725191333681642</v>
      </c>
      <c r="N26">
        <f t="shared" ca="1" si="18"/>
        <v>0.26903234724258357</v>
      </c>
      <c r="O26">
        <f t="shared" ca="1" si="18"/>
        <v>0.57617347518066198</v>
      </c>
      <c r="P26">
        <f t="shared" ca="1" si="18"/>
        <v>0.3815359296096546</v>
      </c>
      <c r="Q26">
        <f t="shared" ca="1" si="18"/>
        <v>-0.92511799012361517</v>
      </c>
      <c r="R26">
        <f t="shared" ca="1" si="18"/>
        <v>0.66525253602307655</v>
      </c>
      <c r="S26">
        <f t="shared" ca="1" si="18"/>
        <v>-0.38066332732739483</v>
      </c>
      <c r="T26">
        <f t="shared" ca="1" si="18"/>
        <v>0.43737914831962305</v>
      </c>
      <c r="U26">
        <f t="shared" ca="1" si="18"/>
        <v>-2.4154396009902301</v>
      </c>
      <c r="V26">
        <f t="shared" ca="1" si="18"/>
        <v>1.8087610002272843</v>
      </c>
      <c r="W26">
        <f t="shared" ca="1" si="18"/>
        <v>0.90055281572899937</v>
      </c>
      <c r="X26">
        <f t="shared" ca="1" si="18"/>
        <v>1.5347301291003168</v>
      </c>
      <c r="Y26">
        <f t="shared" ca="1" si="18"/>
        <v>-2.7880241632369109E-2</v>
      </c>
      <c r="Z26">
        <f t="shared" ca="1" si="18"/>
        <v>0.14335720479395328</v>
      </c>
      <c r="AA26">
        <f t="shared" ca="1" si="18"/>
        <v>0.29761886795947362</v>
      </c>
      <c r="AB26">
        <f t="shared" ca="1" si="18"/>
        <v>2.4665701884615018E-2</v>
      </c>
      <c r="AC26">
        <f t="shared" ca="1" si="18"/>
        <v>0.78567871756478369</v>
      </c>
      <c r="AD26">
        <f t="shared" ca="1" si="18"/>
        <v>-0.875581650897861</v>
      </c>
      <c r="AE26">
        <f t="shared" ca="1" si="18"/>
        <v>0.62748126561842477</v>
      </c>
      <c r="AF26">
        <f t="shared" ca="1" si="18"/>
        <v>2.4414167465139442</v>
      </c>
      <c r="AG26">
        <f t="shared" ca="1" si="18"/>
        <v>0.17662065914773678</v>
      </c>
      <c r="AH26">
        <f t="shared" ca="1" si="18"/>
        <v>-1.0899537073747911</v>
      </c>
      <c r="AI26">
        <f t="shared" ca="1" si="18"/>
        <v>1.3388051313122711</v>
      </c>
      <c r="AJ26">
        <f t="shared" ca="1" si="18"/>
        <v>-0.67121082620727823</v>
      </c>
      <c r="AK26">
        <f t="shared" ca="1" si="18"/>
        <v>1.3457028639230524</v>
      </c>
      <c r="AL26">
        <f t="shared" ca="1" si="18"/>
        <v>0.74383702313237887</v>
      </c>
      <c r="AM26">
        <f t="shared" ca="1" si="18"/>
        <v>0.56810553554980847</v>
      </c>
      <c r="AN26">
        <f t="shared" ca="1" si="18"/>
        <v>-0.78908866161810109</v>
      </c>
      <c r="AO26">
        <f t="shared" ca="1" si="18"/>
        <v>0.55489096929933046</v>
      </c>
      <c r="AP26">
        <f t="shared" ca="1" si="18"/>
        <v>0.92551125755501285</v>
      </c>
      <c r="AQ26">
        <f t="shared" ca="1" si="18"/>
        <v>-0.17039349429876602</v>
      </c>
      <c r="AR26">
        <f t="shared" ca="1" si="18"/>
        <v>1.2152912081140144</v>
      </c>
      <c r="AS26">
        <f t="shared" ca="1" si="18"/>
        <v>-0.34610231413032821</v>
      </c>
      <c r="AT26">
        <f t="shared" ca="1" si="18"/>
        <v>0.59455408896381823</v>
      </c>
      <c r="AU26">
        <f t="shared" ca="1" si="18"/>
        <v>-1.5492444959572509</v>
      </c>
      <c r="AV26">
        <f t="shared" ca="1" si="18"/>
        <v>-0.40154158206361507</v>
      </c>
      <c r="AW26">
        <f t="shared" ca="1" si="18"/>
        <v>1.8099568521781584</v>
      </c>
      <c r="AX26">
        <f t="shared" ca="1" si="18"/>
        <v>-0.6842196370975685</v>
      </c>
      <c r="AY26">
        <f t="shared" ca="1" si="18"/>
        <v>1.3249315594593591</v>
      </c>
      <c r="AZ26">
        <f t="shared" ca="1" si="18"/>
        <v>0.17834137934630551</v>
      </c>
      <c r="BA26">
        <f t="shared" ca="1" si="18"/>
        <v>-0.16098166044027579</v>
      </c>
      <c r="BB26">
        <f t="shared" ca="1" si="18"/>
        <v>9.8167169176769029E-2</v>
      </c>
      <c r="BC26">
        <f t="shared" ca="1" si="18"/>
        <v>1.0989464733891399</v>
      </c>
      <c r="BD26">
        <f t="shared" ca="1" si="18"/>
        <v>0.54312689442619844</v>
      </c>
      <c r="BE26">
        <f t="shared" ca="1" si="18"/>
        <v>-0.79391497949957957</v>
      </c>
      <c r="BF26">
        <f t="shared" ca="1" si="18"/>
        <v>-0.54256771243482971</v>
      </c>
      <c r="BG26">
        <f t="shared" ca="1" si="18"/>
        <v>0.2776906455328722</v>
      </c>
      <c r="BH26">
        <f t="shared" ca="1" si="18"/>
        <v>-1.4294031523960427</v>
      </c>
      <c r="BI26">
        <f t="shared" ca="1" si="18"/>
        <v>0.26144723378486123</v>
      </c>
      <c r="BJ26">
        <f t="shared" ca="1" si="18"/>
        <v>2.5436640210449135</v>
      </c>
      <c r="BK26">
        <f t="shared" ca="1" si="18"/>
        <v>-0.45890286903373589</v>
      </c>
      <c r="BL26">
        <f t="shared" ca="1" si="18"/>
        <v>-0.2672377253656632</v>
      </c>
      <c r="BM26">
        <f t="shared" ca="1" si="18"/>
        <v>0.82452088208168861</v>
      </c>
      <c r="BN26">
        <f t="shared" ca="1" si="18"/>
        <v>0.47645455839545975</v>
      </c>
      <c r="BO26">
        <f t="shared" ca="1" si="18"/>
        <v>-8.3434092769623047E-2</v>
      </c>
      <c r="BP26">
        <f t="shared" ca="1" si="18"/>
        <v>-0.27430772622612465</v>
      </c>
      <c r="BQ26">
        <f t="shared" ca="1" si="18"/>
        <v>3.3053203845284235E-2</v>
      </c>
      <c r="BR26">
        <f t="shared" ca="1" si="18"/>
        <v>-0.40023098050426664</v>
      </c>
      <c r="BS26">
        <f t="shared" ca="1" si="18"/>
        <v>-1.5275926312664205</v>
      </c>
      <c r="BT26">
        <f t="shared" ca="1" si="18"/>
        <v>0.2868361487066094</v>
      </c>
      <c r="BU26">
        <f t="shared" ca="1" si="18"/>
        <v>0.80529016099462147</v>
      </c>
      <c r="BV26">
        <f t="shared" ca="1" si="18"/>
        <v>0.76088697049230392</v>
      </c>
      <c r="BW26">
        <f t="shared" ca="1" si="18"/>
        <v>-1.8205087293616646</v>
      </c>
      <c r="BX26">
        <f t="shared" ca="1" si="18"/>
        <v>0.1523768134205</v>
      </c>
      <c r="BY26">
        <f t="shared" ca="1" si="15"/>
        <v>-2.4464879125540842</v>
      </c>
      <c r="BZ26">
        <f t="shared" ca="1" si="15"/>
        <v>0.68823248803974724</v>
      </c>
      <c r="CA26">
        <f t="shared" ca="1" si="15"/>
        <v>0.8373398349133927</v>
      </c>
      <c r="CB26">
        <f t="shared" ca="1" si="15"/>
        <v>0.11494870088298256</v>
      </c>
      <c r="CC26">
        <f t="shared" ca="1" si="15"/>
        <v>4.7222286601728093E-2</v>
      </c>
      <c r="CD26">
        <f t="shared" ca="1" si="15"/>
        <v>-0.43377889366580635</v>
      </c>
      <c r="CE26">
        <f t="shared" ca="1" si="15"/>
        <v>0.60724195703570882</v>
      </c>
      <c r="CF26">
        <f t="shared" ca="1" si="15"/>
        <v>0.32203048084655705</v>
      </c>
      <c r="CG26">
        <f t="shared" ca="1" si="15"/>
        <v>-0.51075759234300988</v>
      </c>
      <c r="CH26">
        <f t="shared" ca="1" si="15"/>
        <v>1.0036661061619572</v>
      </c>
      <c r="CI26">
        <f t="shared" ca="1" si="15"/>
        <v>-1.4292809532622759</v>
      </c>
      <c r="CJ26">
        <f t="shared" ca="1" si="15"/>
        <v>-1.2620247012307162</v>
      </c>
      <c r="CK26">
        <f t="shared" ca="1" si="15"/>
        <v>-0.29119669004980658</v>
      </c>
      <c r="CL26">
        <f t="shared" ca="1" si="15"/>
        <v>0.25145225053821724</v>
      </c>
      <c r="CM26">
        <f t="shared" ca="1" si="15"/>
        <v>-0.47098246372006536</v>
      </c>
      <c r="CN26">
        <f t="shared" ca="1" si="15"/>
        <v>0.74633291989873407</v>
      </c>
      <c r="CO26">
        <f t="shared" ca="1" si="15"/>
        <v>-0.51826298215508793</v>
      </c>
      <c r="CP26">
        <f t="shared" ca="1" si="15"/>
        <v>-0.56055023086425093</v>
      </c>
      <c r="CQ26">
        <f t="shared" ca="1" si="15"/>
        <v>-0.78865996986637776</v>
      </c>
      <c r="CR26">
        <f t="shared" ca="1" si="15"/>
        <v>0.27019373841030336</v>
      </c>
      <c r="CS26">
        <f t="shared" ca="1" si="15"/>
        <v>1.0397697469015899</v>
      </c>
      <c r="CT26">
        <f t="shared" ca="1" si="15"/>
        <v>0.61472295147115219</v>
      </c>
      <c r="CU26">
        <f t="shared" ca="1" si="15"/>
        <v>-0.13181462119990159</v>
      </c>
      <c r="CV26">
        <f t="shared" ca="1" si="15"/>
        <v>0.41960988935982529</v>
      </c>
      <c r="CW26">
        <f t="shared" ca="1" si="15"/>
        <v>-0.42771843291137357</v>
      </c>
      <c r="CX26">
        <f t="shared" ca="1" si="15"/>
        <v>0.1411885496438699</v>
      </c>
      <c r="CY26">
        <f t="shared" ca="1" si="15"/>
        <v>-0.12938192569913148</v>
      </c>
      <c r="CZ26">
        <f t="shared" ca="1" si="15"/>
        <v>0.14899549898783354</v>
      </c>
      <c r="DA26">
        <f t="shared" ca="1" si="15"/>
        <v>-0.69128614013746037</v>
      </c>
      <c r="DB26">
        <f t="shared" ca="1" si="15"/>
        <v>-0.3164136550282301</v>
      </c>
      <c r="DC26">
        <f t="shared" ca="1" si="15"/>
        <v>-0.62937184368960453</v>
      </c>
      <c r="DD26">
        <f t="shared" ca="1" si="15"/>
        <v>-0.8116783213647577</v>
      </c>
      <c r="DE26">
        <f t="shared" ca="1" si="15"/>
        <v>-0.94522976649983204</v>
      </c>
      <c r="DF26">
        <f t="shared" ca="1" si="15"/>
        <v>0.16499759387069057</v>
      </c>
      <c r="DG26">
        <f t="shared" ca="1" si="15"/>
        <v>0.41365970246966327</v>
      </c>
    </row>
    <row r="27" spans="1:111">
      <c r="A27" s="2">
        <v>45964</v>
      </c>
      <c r="B27">
        <v>268.05975341796881</v>
      </c>
      <c r="C27">
        <f t="shared" si="0"/>
        <v>-2.1255753451144767E-3</v>
      </c>
      <c r="J27">
        <v>5</v>
      </c>
      <c r="K27">
        <f t="shared" si="17"/>
        <v>0</v>
      </c>
      <c r="L27">
        <f t="shared" ca="1" si="16"/>
        <v>0.10170109136210984</v>
      </c>
      <c r="M27">
        <f t="shared" ca="1" si="18"/>
        <v>-1.3950515905147913</v>
      </c>
      <c r="N27">
        <f t="shared" ca="1" si="18"/>
        <v>0.35993280224726232</v>
      </c>
      <c r="O27">
        <f t="shared" ca="1" si="18"/>
        <v>1.1048339881834859</v>
      </c>
      <c r="P27">
        <f t="shared" ca="1" si="18"/>
        <v>0.21298953312062591</v>
      </c>
      <c r="Q27">
        <f t="shared" ca="1" si="18"/>
        <v>0.89591447676791891</v>
      </c>
      <c r="R27">
        <f t="shared" ca="1" si="18"/>
        <v>-0.41146039903704529</v>
      </c>
      <c r="S27">
        <f t="shared" ca="1" si="18"/>
        <v>-0.87275786324303783</v>
      </c>
      <c r="T27">
        <f t="shared" ca="1" si="18"/>
        <v>-1.0011962682424695</v>
      </c>
      <c r="U27">
        <f t="shared" ca="1" si="18"/>
        <v>0.93574415470523831</v>
      </c>
      <c r="V27">
        <f t="shared" ca="1" si="18"/>
        <v>1.1330986577747659</v>
      </c>
      <c r="W27">
        <f t="shared" ca="1" si="18"/>
        <v>-0.27770709977869723</v>
      </c>
      <c r="X27">
        <f t="shared" ca="1" si="18"/>
        <v>-0.15785929864266968</v>
      </c>
      <c r="Y27">
        <f t="shared" ca="1" si="18"/>
        <v>1.4307272260918036</v>
      </c>
      <c r="Z27">
        <f t="shared" ca="1" si="18"/>
        <v>-0.20420610211665599</v>
      </c>
      <c r="AA27">
        <f t="shared" ca="1" si="18"/>
        <v>-1.6054116440634793E-2</v>
      </c>
      <c r="AB27">
        <f t="shared" ca="1" si="18"/>
        <v>-0.58108677928420449</v>
      </c>
      <c r="AC27">
        <f t="shared" ca="1" si="18"/>
        <v>-0.97326723662285575</v>
      </c>
      <c r="AD27">
        <f t="shared" ca="1" si="18"/>
        <v>-0.34575223530214566</v>
      </c>
      <c r="AE27">
        <f t="shared" ca="1" si="18"/>
        <v>-0.31663211369375971</v>
      </c>
      <c r="AF27">
        <f t="shared" ca="1" si="18"/>
        <v>-1.3363514585948517</v>
      </c>
      <c r="AG27">
        <f t="shared" ca="1" si="18"/>
        <v>-1.6790699828395237</v>
      </c>
      <c r="AH27">
        <f t="shared" ca="1" si="18"/>
        <v>-2.694785196120983</v>
      </c>
      <c r="AI27">
        <f t="shared" ca="1" si="18"/>
        <v>1.4611505241035865</v>
      </c>
      <c r="AJ27">
        <f t="shared" ca="1" si="18"/>
        <v>0.35088425492836889</v>
      </c>
      <c r="AK27">
        <f t="shared" ca="1" si="18"/>
        <v>-0.18768343803922632</v>
      </c>
      <c r="AL27">
        <f t="shared" ca="1" si="18"/>
        <v>-1.4832906999607491</v>
      </c>
      <c r="AM27">
        <f t="shared" ca="1" si="18"/>
        <v>-1.2201355842145141</v>
      </c>
      <c r="AN27">
        <f t="shared" ca="1" si="18"/>
        <v>-0.22797684349018313</v>
      </c>
      <c r="AO27">
        <f t="shared" ca="1" si="18"/>
        <v>0.2613992014377356</v>
      </c>
      <c r="AP27">
        <f t="shared" ca="1" si="18"/>
        <v>0.11727294277682691</v>
      </c>
      <c r="AQ27">
        <f t="shared" ca="1" si="18"/>
        <v>-0.89444767028808281</v>
      </c>
      <c r="AR27">
        <f t="shared" ca="1" si="18"/>
        <v>1.3396719816098985</v>
      </c>
      <c r="AS27">
        <f t="shared" ca="1" si="18"/>
        <v>1.0034856042469691</v>
      </c>
      <c r="AT27">
        <f t="shared" ca="1" si="18"/>
        <v>-1.6179379322305802</v>
      </c>
      <c r="AU27">
        <f t="shared" ca="1" si="18"/>
        <v>-0.32445980481971637</v>
      </c>
      <c r="AV27">
        <f t="shared" ca="1" si="18"/>
        <v>-1.5595523613705928</v>
      </c>
      <c r="AW27">
        <f t="shared" ca="1" si="18"/>
        <v>0.22451008732187938</v>
      </c>
      <c r="AX27">
        <f t="shared" ca="1" si="18"/>
        <v>0.87399707104511393</v>
      </c>
      <c r="AY27">
        <f t="shared" ca="1" si="18"/>
        <v>2.2150383148293433</v>
      </c>
      <c r="AZ27">
        <f t="shared" ca="1" si="18"/>
        <v>-0.85654313980178043</v>
      </c>
      <c r="BA27">
        <f t="shared" ca="1" si="18"/>
        <v>-0.61321845016033216</v>
      </c>
      <c r="BB27">
        <f t="shared" ca="1" si="18"/>
        <v>-0.41576821763812483</v>
      </c>
      <c r="BC27">
        <f t="shared" ca="1" si="18"/>
        <v>-0.40621427258901405</v>
      </c>
      <c r="BD27">
        <f t="shared" ca="1" si="18"/>
        <v>-0.25311887769535668</v>
      </c>
      <c r="BE27">
        <f t="shared" ca="1" si="18"/>
        <v>-0.77620467216753819</v>
      </c>
      <c r="BF27">
        <f t="shared" ca="1" si="18"/>
        <v>0.27528847557442343</v>
      </c>
      <c r="BG27">
        <f t="shared" ca="1" si="18"/>
        <v>1.1784581711471489</v>
      </c>
      <c r="BH27">
        <f t="shared" ca="1" si="18"/>
        <v>-1.6849836890942578</v>
      </c>
      <c r="BI27">
        <f t="shared" ca="1" si="18"/>
        <v>-0.83678184121021737</v>
      </c>
      <c r="BJ27">
        <f t="shared" ca="1" si="18"/>
        <v>7.3661222181572644E-2</v>
      </c>
      <c r="BK27">
        <f t="shared" ca="1" si="18"/>
        <v>-0.64031518078289862</v>
      </c>
      <c r="BL27">
        <f t="shared" ca="1" si="18"/>
        <v>4.2714455345731421E-2</v>
      </c>
      <c r="BM27">
        <f t="shared" ca="1" si="18"/>
        <v>0.74492664707546752</v>
      </c>
      <c r="BN27">
        <f t="shared" ca="1" si="18"/>
        <v>-0.1959108698415209</v>
      </c>
      <c r="BO27">
        <f t="shared" ca="1" si="18"/>
        <v>-0.89062969682149973</v>
      </c>
      <c r="BP27">
        <f t="shared" ca="1" si="18"/>
        <v>-0.36972708240066798</v>
      </c>
      <c r="BQ27">
        <f t="shared" ca="1" si="18"/>
        <v>0.8342393280928756</v>
      </c>
      <c r="BR27">
        <f t="shared" ca="1" si="18"/>
        <v>-0.7318773625117071</v>
      </c>
      <c r="BS27">
        <f t="shared" ca="1" si="18"/>
        <v>-4.0748142699308466E-2</v>
      </c>
      <c r="BT27">
        <f t="shared" ca="1" si="18"/>
        <v>0.95208120824005271</v>
      </c>
      <c r="BU27">
        <f t="shared" ca="1" si="18"/>
        <v>0.53433816009578672</v>
      </c>
      <c r="BV27">
        <f t="shared" ca="1" si="18"/>
        <v>1.0507265778690931</v>
      </c>
      <c r="BW27">
        <f t="shared" ca="1" si="18"/>
        <v>-1.0250243769596714</v>
      </c>
      <c r="BX27">
        <f t="shared" ca="1" si="18"/>
        <v>-0.65871399576861489</v>
      </c>
      <c r="BY27">
        <f t="shared" ca="1" si="15"/>
        <v>0.71523152109294796</v>
      </c>
      <c r="BZ27">
        <f t="shared" ca="1" si="15"/>
        <v>-0.55370431375862905</v>
      </c>
      <c r="CA27">
        <f t="shared" ca="1" si="15"/>
        <v>-0.10272145346544402</v>
      </c>
      <c r="CB27">
        <f t="shared" ca="1" si="15"/>
        <v>4.0978658995664337E-2</v>
      </c>
      <c r="CC27">
        <f t="shared" ca="1" si="15"/>
        <v>-0.37962871389830988</v>
      </c>
      <c r="CD27">
        <f t="shared" ca="1" si="15"/>
        <v>0.75336763447626309</v>
      </c>
      <c r="CE27">
        <f t="shared" ca="1" si="15"/>
        <v>-8.3950255591690878E-2</v>
      </c>
      <c r="CF27">
        <f t="shared" ca="1" si="15"/>
        <v>-0.17843855022038407</v>
      </c>
      <c r="CG27">
        <f t="shared" ca="1" si="15"/>
        <v>-0.42012492808226304</v>
      </c>
      <c r="CH27">
        <f t="shared" ca="1" si="15"/>
        <v>-1.5960527571514984</v>
      </c>
      <c r="CI27">
        <f t="shared" ca="1" si="15"/>
        <v>-0.32519282388526549</v>
      </c>
      <c r="CJ27">
        <f t="shared" ca="1" si="15"/>
        <v>-1.1781295029552807</v>
      </c>
      <c r="CK27">
        <f t="shared" ca="1" si="15"/>
        <v>-0.77133627604896982</v>
      </c>
      <c r="CL27">
        <f t="shared" ca="1" si="15"/>
        <v>-0.9314808693876534</v>
      </c>
      <c r="CM27">
        <f t="shared" ca="1" si="15"/>
        <v>-0.27550331709375259</v>
      </c>
      <c r="CN27">
        <f t="shared" ca="1" si="15"/>
        <v>0.51740543631272129</v>
      </c>
      <c r="CO27">
        <f t="shared" ca="1" si="15"/>
        <v>0.22881203027929584</v>
      </c>
      <c r="CP27">
        <f t="shared" ca="1" si="15"/>
        <v>0.75357560876313812</v>
      </c>
      <c r="CQ27">
        <f t="shared" ca="1" si="15"/>
        <v>9.7657586251034947E-2</v>
      </c>
      <c r="CR27">
        <f t="shared" ca="1" si="15"/>
        <v>0.41528854824352707</v>
      </c>
      <c r="CS27">
        <f t="shared" ca="1" si="15"/>
        <v>3.1951236332526702E-2</v>
      </c>
      <c r="CT27">
        <f t="shared" ca="1" si="15"/>
        <v>-1.0857167981687186</v>
      </c>
      <c r="CU27">
        <f t="shared" ca="1" si="15"/>
        <v>2.19736598308786</v>
      </c>
      <c r="CV27">
        <f t="shared" ca="1" si="15"/>
        <v>-1.0072020995608919</v>
      </c>
      <c r="CW27">
        <f t="shared" ca="1" si="15"/>
        <v>-1.4427231433937224</v>
      </c>
      <c r="CX27">
        <f t="shared" ca="1" si="15"/>
        <v>0.99708558565857075</v>
      </c>
      <c r="CY27">
        <f t="shared" ca="1" si="15"/>
        <v>-0.46801947593672749</v>
      </c>
      <c r="CZ27">
        <f t="shared" ca="1" si="15"/>
        <v>1.4449880191135522</v>
      </c>
      <c r="DA27">
        <f t="shared" ca="1" si="15"/>
        <v>0.10526361048073747</v>
      </c>
      <c r="DB27">
        <f t="shared" ca="1" si="15"/>
        <v>0.55252807479089183</v>
      </c>
      <c r="DC27">
        <f t="shared" ca="1" si="15"/>
        <v>1.1207199291634944</v>
      </c>
      <c r="DD27">
        <f t="shared" ca="1" si="15"/>
        <v>0.99751976424916211</v>
      </c>
      <c r="DE27">
        <f t="shared" ca="1" si="15"/>
        <v>-0.90106034206901908</v>
      </c>
      <c r="DF27">
        <f t="shared" ca="1" si="15"/>
        <v>8.3269670653707245E-2</v>
      </c>
      <c r="DG27">
        <f t="shared" ca="1" si="15"/>
        <v>0.42492424206841217</v>
      </c>
    </row>
    <row r="28" spans="1:111">
      <c r="A28" s="2">
        <v>45965</v>
      </c>
      <c r="B28">
        <v>269.04617309570313</v>
      </c>
      <c r="C28">
        <f t="shared" si="0"/>
        <v>1.5952052784407723E-3</v>
      </c>
      <c r="J28">
        <v>6</v>
      </c>
      <c r="K28">
        <f t="shared" si="17"/>
        <v>0</v>
      </c>
      <c r="L28">
        <f t="shared" ca="1" si="16"/>
        <v>1.2907887495986179</v>
      </c>
      <c r="M28">
        <f t="shared" ca="1" si="18"/>
        <v>-0.13172833927537128</v>
      </c>
      <c r="N28">
        <f t="shared" ca="1" si="18"/>
        <v>-0.90322293423190692</v>
      </c>
      <c r="O28">
        <f t="shared" ca="1" si="18"/>
        <v>0.36444240086401669</v>
      </c>
      <c r="P28">
        <f t="shared" ca="1" si="18"/>
        <v>-1.4082164933672536</v>
      </c>
      <c r="Q28">
        <f t="shared" ca="1" si="18"/>
        <v>0.13015356694250602</v>
      </c>
      <c r="R28">
        <f t="shared" ca="1" si="18"/>
        <v>2.159622306905824</v>
      </c>
      <c r="S28">
        <f t="shared" ca="1" si="18"/>
        <v>-0.63349781944237815</v>
      </c>
      <c r="T28">
        <f t="shared" ca="1" si="18"/>
        <v>1.4159142172239254</v>
      </c>
      <c r="U28">
        <f t="shared" ca="1" si="18"/>
        <v>-0.12692767318050369</v>
      </c>
      <c r="V28">
        <f t="shared" ca="1" si="18"/>
        <v>1.1560869151157755</v>
      </c>
      <c r="W28">
        <f t="shared" ca="1" si="18"/>
        <v>0.51695547111416307</v>
      </c>
      <c r="X28">
        <f t="shared" ca="1" si="18"/>
        <v>-0.68872509246162306</v>
      </c>
      <c r="Y28">
        <f t="shared" ca="1" si="18"/>
        <v>0.3371799428172278</v>
      </c>
      <c r="Z28">
        <f t="shared" ca="1" si="18"/>
        <v>-1.7387263306489507</v>
      </c>
      <c r="AA28">
        <f t="shared" ca="1" si="18"/>
        <v>0.4201781284938863</v>
      </c>
      <c r="AB28">
        <f t="shared" ca="1" si="18"/>
        <v>-0.49331447942637124</v>
      </c>
      <c r="AC28">
        <f t="shared" ca="1" si="18"/>
        <v>-0.24426010985677571</v>
      </c>
      <c r="AD28">
        <f t="shared" ca="1" si="18"/>
        <v>-0.14238933653186961</v>
      </c>
      <c r="AE28">
        <f t="shared" ca="1" si="18"/>
        <v>0.65856296882805965</v>
      </c>
      <c r="AF28">
        <f t="shared" ca="1" si="18"/>
        <v>-1.2453502605033031</v>
      </c>
      <c r="AG28">
        <f t="shared" ca="1" si="18"/>
        <v>2.1907044391582993</v>
      </c>
      <c r="AH28">
        <f t="shared" ca="1" si="18"/>
        <v>0.53756373293330928</v>
      </c>
      <c r="AI28">
        <f t="shared" ca="1" si="18"/>
        <v>0.78562731375912753</v>
      </c>
      <c r="AJ28">
        <f t="shared" ca="1" si="18"/>
        <v>0.89830975890342102</v>
      </c>
      <c r="AK28">
        <f t="shared" ca="1" si="18"/>
        <v>0.53414864325981837</v>
      </c>
      <c r="AL28">
        <f t="shared" ca="1" si="18"/>
        <v>1.3213566767704623</v>
      </c>
      <c r="AM28">
        <f t="shared" ca="1" si="18"/>
        <v>0.39932620501680943</v>
      </c>
      <c r="AN28">
        <f t="shared" ca="1" si="18"/>
        <v>1.1434399438825191</v>
      </c>
      <c r="AO28">
        <f t="shared" ca="1" si="18"/>
        <v>0.99710943214761916</v>
      </c>
      <c r="AP28">
        <f t="shared" ca="1" si="18"/>
        <v>0.87906939472425305</v>
      </c>
      <c r="AQ28">
        <f t="shared" ca="1" si="18"/>
        <v>-1.0266994564703369</v>
      </c>
      <c r="AR28">
        <f t="shared" ca="1" si="18"/>
        <v>-0.96898536956023107</v>
      </c>
      <c r="AS28">
        <f t="shared" ca="1" si="18"/>
        <v>0.56904967546219443</v>
      </c>
      <c r="AT28">
        <f t="shared" ca="1" si="18"/>
        <v>0.89330647392344087</v>
      </c>
      <c r="AU28">
        <f t="shared" ca="1" si="18"/>
        <v>-0.26216453040549409</v>
      </c>
      <c r="AV28">
        <f t="shared" ca="1" si="18"/>
        <v>-0.98783258707478616</v>
      </c>
      <c r="AW28">
        <f t="shared" ca="1" si="18"/>
        <v>0.70936773012966992</v>
      </c>
      <c r="AX28">
        <f t="shared" ca="1" si="18"/>
        <v>6.512939621625935E-2</v>
      </c>
      <c r="AY28">
        <f t="shared" ca="1" si="18"/>
        <v>1.5748120610134211</v>
      </c>
      <c r="AZ28">
        <f t="shared" ca="1" si="18"/>
        <v>-0.53770027945125687</v>
      </c>
      <c r="BA28">
        <f t="shared" ca="1" si="18"/>
        <v>-0.60313247324803398</v>
      </c>
      <c r="BB28">
        <f t="shared" ca="1" si="18"/>
        <v>-0.7286823615511171</v>
      </c>
      <c r="BC28">
        <f t="shared" ca="1" si="18"/>
        <v>-1.3542747540894826</v>
      </c>
      <c r="BD28">
        <f t="shared" ca="1" si="18"/>
        <v>-1.2418856961930527</v>
      </c>
      <c r="BE28">
        <f t="shared" ca="1" si="18"/>
        <v>-0.4649994642905218</v>
      </c>
      <c r="BF28">
        <f t="shared" ca="1" si="18"/>
        <v>0.8331904746885167</v>
      </c>
      <c r="BG28">
        <f t="shared" ca="1" si="18"/>
        <v>-1.7195005058145076</v>
      </c>
      <c r="BH28">
        <f t="shared" ca="1" si="18"/>
        <v>-0.60771827373290666</v>
      </c>
      <c r="BI28">
        <f t="shared" ca="1" si="18"/>
        <v>-0.63626801460960014</v>
      </c>
      <c r="BJ28">
        <f t="shared" ca="1" si="18"/>
        <v>-0.54661731595497565</v>
      </c>
      <c r="BK28">
        <f t="shared" ca="1" si="18"/>
        <v>0.51142512465724554</v>
      </c>
      <c r="BL28">
        <f t="shared" ca="1" si="18"/>
        <v>0.23529401275071501</v>
      </c>
      <c r="BM28">
        <f t="shared" ca="1" si="18"/>
        <v>0.2807985780086843</v>
      </c>
      <c r="BN28">
        <f t="shared" ca="1" si="18"/>
        <v>-0.21104413330723845</v>
      </c>
      <c r="BO28">
        <f t="shared" ca="1" si="18"/>
        <v>0.20779489630012318</v>
      </c>
      <c r="BP28">
        <f t="shared" ca="1" si="18"/>
        <v>1.0101094871682839</v>
      </c>
      <c r="BQ28">
        <f t="shared" ca="1" si="18"/>
        <v>-1.0016548475295386</v>
      </c>
      <c r="BR28">
        <f t="shared" ca="1" si="18"/>
        <v>0.59809380472715101</v>
      </c>
      <c r="BS28">
        <f t="shared" ca="1" si="18"/>
        <v>-1.0969265437860583</v>
      </c>
      <c r="BT28">
        <f t="shared" ca="1" si="18"/>
        <v>-0.23913526041598307</v>
      </c>
      <c r="BU28">
        <f t="shared" ca="1" si="18"/>
        <v>-0.64321553319429892</v>
      </c>
      <c r="BV28">
        <f t="shared" ca="1" si="18"/>
        <v>-1.5503720809661334</v>
      </c>
      <c r="BW28">
        <f t="shared" ca="1" si="18"/>
        <v>0.62845790346530084</v>
      </c>
      <c r="BX28">
        <f t="shared" ref="BX28:DG31" ca="1" si="19">$G$11*NORMSINV(RAND())</f>
        <v>-0.25012876822045571</v>
      </c>
      <c r="BY28">
        <f t="shared" ca="1" si="19"/>
        <v>-0.30624263917524908</v>
      </c>
      <c r="BZ28">
        <f t="shared" ca="1" si="19"/>
        <v>-0.19250344266211927</v>
      </c>
      <c r="CA28">
        <f t="shared" ca="1" si="19"/>
        <v>1.2581633893118847</v>
      </c>
      <c r="CB28">
        <f t="shared" ca="1" si="19"/>
        <v>0.88355791329123712</v>
      </c>
      <c r="CC28">
        <f t="shared" ca="1" si="19"/>
        <v>-1.1254443143765067</v>
      </c>
      <c r="CD28">
        <f t="shared" ca="1" si="19"/>
        <v>-0.31583675432208974</v>
      </c>
      <c r="CE28">
        <f t="shared" ca="1" si="19"/>
        <v>-1.8365404199029347</v>
      </c>
      <c r="CF28">
        <f t="shared" ca="1" si="19"/>
        <v>-0.17488493129126248</v>
      </c>
      <c r="CG28">
        <f t="shared" ca="1" si="19"/>
        <v>0.70053666814302618</v>
      </c>
      <c r="CH28">
        <f t="shared" ca="1" si="19"/>
        <v>-0.44405487099581448</v>
      </c>
      <c r="CI28">
        <f t="shared" ca="1" si="19"/>
        <v>0.13514802666254247</v>
      </c>
      <c r="CJ28">
        <f t="shared" ca="1" si="19"/>
        <v>0.40532692403210918</v>
      </c>
      <c r="CK28">
        <f t="shared" ca="1" si="19"/>
        <v>0.7557870962032377</v>
      </c>
      <c r="CL28">
        <f t="shared" ca="1" si="19"/>
        <v>4.190467201549699E-2</v>
      </c>
      <c r="CM28">
        <f t="shared" ca="1" si="19"/>
        <v>-6.3321842321224328E-2</v>
      </c>
      <c r="CN28">
        <f t="shared" ca="1" si="19"/>
        <v>-2.9742360756263952</v>
      </c>
      <c r="CO28">
        <f t="shared" ca="1" si="19"/>
        <v>-0.51346011210736309</v>
      </c>
      <c r="CP28">
        <f t="shared" ca="1" si="19"/>
        <v>-0.3952117958266706</v>
      </c>
      <c r="CQ28">
        <f t="shared" ca="1" si="19"/>
        <v>-1.2240712131641553</v>
      </c>
      <c r="CR28">
        <f t="shared" ca="1" si="19"/>
        <v>1.2920369037458355</v>
      </c>
      <c r="CS28">
        <f t="shared" ca="1" si="19"/>
        <v>-0.42466112737864636</v>
      </c>
      <c r="CT28">
        <f t="shared" ca="1" si="19"/>
        <v>0.34799295944046799</v>
      </c>
      <c r="CU28">
        <f t="shared" ca="1" si="19"/>
        <v>0.44567675315865807</v>
      </c>
      <c r="CV28">
        <f t="shared" ca="1" si="19"/>
        <v>-0.83383574764903357</v>
      </c>
      <c r="CW28">
        <f t="shared" ca="1" si="19"/>
        <v>1.806335512533781</v>
      </c>
      <c r="CX28">
        <f t="shared" ca="1" si="19"/>
        <v>1.2804382084670172</v>
      </c>
      <c r="CY28">
        <f t="shared" ca="1" si="19"/>
        <v>0.10837020070788697</v>
      </c>
      <c r="CZ28">
        <f t="shared" ca="1" si="19"/>
        <v>0.22907261641890669</v>
      </c>
      <c r="DA28">
        <f t="shared" ca="1" si="19"/>
        <v>0.27084139696642356</v>
      </c>
      <c r="DB28">
        <f t="shared" ca="1" si="19"/>
        <v>0.34899796955838541</v>
      </c>
      <c r="DC28">
        <f t="shared" ca="1" si="19"/>
        <v>-0.11496018813409753</v>
      </c>
      <c r="DD28">
        <f t="shared" ca="1" si="19"/>
        <v>1.0069548523512606</v>
      </c>
      <c r="DE28">
        <f t="shared" ca="1" si="19"/>
        <v>-0.76225136222200485</v>
      </c>
      <c r="DF28">
        <f t="shared" ca="1" si="19"/>
        <v>-0.82413438224909241</v>
      </c>
      <c r="DG28">
        <f t="shared" ca="1" si="19"/>
        <v>-0.39578311441448177</v>
      </c>
    </row>
    <row r="29" spans="1:111">
      <c r="A29" s="2">
        <v>45966</v>
      </c>
      <c r="B29">
        <v>269.14581298828119</v>
      </c>
      <c r="C29">
        <f t="shared" si="0"/>
        <v>1.6080899432691876E-4</v>
      </c>
      <c r="J29">
        <v>7</v>
      </c>
      <c r="K29">
        <f t="shared" si="17"/>
        <v>0</v>
      </c>
      <c r="L29">
        <f t="shared" ca="1" si="16"/>
        <v>-0.52026680165734907</v>
      </c>
      <c r="M29">
        <f t="shared" ref="M29:BX32" ca="1" si="20">$G$11*NORMSINV(RAND())</f>
        <v>-1.1720650640091184</v>
      </c>
      <c r="N29">
        <f t="shared" ca="1" si="20"/>
        <v>0.23704762942562185</v>
      </c>
      <c r="O29">
        <f t="shared" ca="1" si="20"/>
        <v>0.49999817138992114</v>
      </c>
      <c r="P29">
        <f t="shared" ca="1" si="20"/>
        <v>-0.9829037005991812</v>
      </c>
      <c r="Q29">
        <f t="shared" ca="1" si="20"/>
        <v>1.070519634576252</v>
      </c>
      <c r="R29">
        <f t="shared" ca="1" si="20"/>
        <v>-0.18621357341740841</v>
      </c>
      <c r="S29">
        <f t="shared" ca="1" si="20"/>
        <v>-1.1481817677253785</v>
      </c>
      <c r="T29">
        <f t="shared" ca="1" si="20"/>
        <v>0.6080348238840485</v>
      </c>
      <c r="U29">
        <f t="shared" ca="1" si="20"/>
        <v>0.42456132725002416</v>
      </c>
      <c r="V29">
        <f t="shared" ca="1" si="20"/>
        <v>0.2024771887658362</v>
      </c>
      <c r="W29">
        <f t="shared" ca="1" si="20"/>
        <v>-0.16267804250450207</v>
      </c>
      <c r="X29">
        <f t="shared" ca="1" si="20"/>
        <v>-1.2360809629689031</v>
      </c>
      <c r="Y29">
        <f t="shared" ca="1" si="20"/>
        <v>-1.0292801175686432</v>
      </c>
      <c r="Z29">
        <f t="shared" ca="1" si="20"/>
        <v>1.7276962065369865</v>
      </c>
      <c r="AA29">
        <f t="shared" ca="1" si="20"/>
        <v>1.4057973683834404</v>
      </c>
      <c r="AB29">
        <f t="shared" ca="1" si="20"/>
        <v>0.99887023844503309</v>
      </c>
      <c r="AC29">
        <f t="shared" ca="1" si="20"/>
        <v>-0.3750931822138362</v>
      </c>
      <c r="AD29">
        <f t="shared" ca="1" si="20"/>
        <v>1.0089802248880646</v>
      </c>
      <c r="AE29">
        <f t="shared" ca="1" si="20"/>
        <v>1.2404877699435237</v>
      </c>
      <c r="AF29">
        <f t="shared" ca="1" si="20"/>
        <v>1.2714774592094473</v>
      </c>
      <c r="AG29">
        <f t="shared" ca="1" si="20"/>
        <v>-1.5894284500621885</v>
      </c>
      <c r="AH29">
        <f t="shared" ca="1" si="20"/>
        <v>0.39215436105467477</v>
      </c>
      <c r="AI29">
        <f t="shared" ca="1" si="20"/>
        <v>0.43615602501302653</v>
      </c>
      <c r="AJ29">
        <f t="shared" ca="1" si="20"/>
        <v>0.68307771946467166</v>
      </c>
      <c r="AK29">
        <f t="shared" ca="1" si="20"/>
        <v>-0.89069466874276093</v>
      </c>
      <c r="AL29">
        <f t="shared" ca="1" si="20"/>
        <v>-0.8531090882914153</v>
      </c>
      <c r="AM29">
        <f t="shared" ca="1" si="20"/>
        <v>-0.75990742755950591</v>
      </c>
      <c r="AN29">
        <f t="shared" ca="1" si="20"/>
        <v>1.0131339492787077</v>
      </c>
      <c r="AO29">
        <f t="shared" ca="1" si="20"/>
        <v>0.24227093076802317</v>
      </c>
      <c r="AP29">
        <f t="shared" ca="1" si="20"/>
        <v>0.28356159521983626</v>
      </c>
      <c r="AQ29">
        <f t="shared" ca="1" si="20"/>
        <v>0.77516317886718378</v>
      </c>
      <c r="AR29">
        <f t="shared" ca="1" si="20"/>
        <v>-1.1025048949269107</v>
      </c>
      <c r="AS29">
        <f t="shared" ca="1" si="20"/>
        <v>0.37382626223479076</v>
      </c>
      <c r="AT29">
        <f t="shared" ca="1" si="20"/>
        <v>0.49817558263667439</v>
      </c>
      <c r="AU29">
        <f t="shared" ca="1" si="20"/>
        <v>0.82604841667061835</v>
      </c>
      <c r="AV29">
        <f t="shared" ca="1" si="20"/>
        <v>0.51733512100087731</v>
      </c>
      <c r="AW29">
        <f t="shared" ca="1" si="20"/>
        <v>0.71901936756564722</v>
      </c>
      <c r="AX29">
        <f t="shared" ca="1" si="20"/>
        <v>0.41019961504289487</v>
      </c>
      <c r="AY29">
        <f t="shared" ca="1" si="20"/>
        <v>-0.50624060124873826</v>
      </c>
      <c r="AZ29">
        <f t="shared" ca="1" si="20"/>
        <v>-1.000294359540006</v>
      </c>
      <c r="BA29">
        <f t="shared" ca="1" si="20"/>
        <v>0.71840352269623042</v>
      </c>
      <c r="BB29">
        <f t="shared" ca="1" si="20"/>
        <v>-0.29051237934941498</v>
      </c>
      <c r="BC29">
        <f t="shared" ca="1" si="20"/>
        <v>0.99186236620144907</v>
      </c>
      <c r="BD29">
        <f t="shared" ca="1" si="20"/>
        <v>-1.3525196941923379</v>
      </c>
      <c r="BE29">
        <f t="shared" ca="1" si="20"/>
        <v>0.1363613130795216</v>
      </c>
      <c r="BF29">
        <f t="shared" ca="1" si="20"/>
        <v>-1.0447429082011219</v>
      </c>
      <c r="BG29">
        <f t="shared" ca="1" si="20"/>
        <v>-0.73027318636593463</v>
      </c>
      <c r="BH29">
        <f t="shared" ca="1" si="20"/>
        <v>-0.70352356878806599</v>
      </c>
      <c r="BI29">
        <f t="shared" ca="1" si="20"/>
        <v>0.5135718689303258</v>
      </c>
      <c r="BJ29">
        <f t="shared" ca="1" si="20"/>
        <v>0.65810094095241778</v>
      </c>
      <c r="BK29">
        <f t="shared" ca="1" si="20"/>
        <v>-2.2082834393838215</v>
      </c>
      <c r="BL29">
        <f t="shared" ca="1" si="20"/>
        <v>0.17119929387161378</v>
      </c>
      <c r="BM29">
        <f t="shared" ca="1" si="20"/>
        <v>0.93792036305909143</v>
      </c>
      <c r="BN29">
        <f t="shared" ca="1" si="20"/>
        <v>0.30530449593031422</v>
      </c>
      <c r="BO29">
        <f t="shared" ca="1" si="20"/>
        <v>-0.38703969501052343</v>
      </c>
      <c r="BP29">
        <f t="shared" ca="1" si="20"/>
        <v>-0.67977406606768953</v>
      </c>
      <c r="BQ29">
        <f t="shared" ca="1" si="20"/>
        <v>0.20630155807478268</v>
      </c>
      <c r="BR29">
        <f t="shared" ca="1" si="20"/>
        <v>0.48984329975343566</v>
      </c>
      <c r="BS29">
        <f t="shared" ca="1" si="20"/>
        <v>0.26069287156802134</v>
      </c>
      <c r="BT29">
        <f t="shared" ca="1" si="20"/>
        <v>-0.65442727600686523</v>
      </c>
      <c r="BU29">
        <f t="shared" ca="1" si="20"/>
        <v>1.3734580371785925</v>
      </c>
      <c r="BV29">
        <f t="shared" ca="1" si="20"/>
        <v>-4.7573447066735053E-2</v>
      </c>
      <c r="BW29">
        <f t="shared" ca="1" si="20"/>
        <v>-0.46195164838127761</v>
      </c>
      <c r="BX29">
        <f t="shared" ca="1" si="20"/>
        <v>-0.47867255690014998</v>
      </c>
      <c r="BY29">
        <f t="shared" ca="1" si="19"/>
        <v>0.73271195351880503</v>
      </c>
      <c r="BZ29">
        <f t="shared" ca="1" si="19"/>
        <v>-1.9097764146434388</v>
      </c>
      <c r="CA29">
        <f t="shared" ca="1" si="19"/>
        <v>0.63601137369279159</v>
      </c>
      <c r="CB29">
        <f t="shared" ca="1" si="19"/>
        <v>1.4049215555391927</v>
      </c>
      <c r="CC29">
        <f t="shared" ca="1" si="19"/>
        <v>0.95503016290518261</v>
      </c>
      <c r="CD29">
        <f t="shared" ca="1" si="19"/>
        <v>-0.75338812204157257</v>
      </c>
      <c r="CE29">
        <f t="shared" ca="1" si="19"/>
        <v>0.62905716067572492</v>
      </c>
      <c r="CF29">
        <f t="shared" ca="1" si="19"/>
        <v>0.2237401736484555</v>
      </c>
      <c r="CG29">
        <f t="shared" ca="1" si="19"/>
        <v>1.5604126302335162</v>
      </c>
      <c r="CH29">
        <f t="shared" ca="1" si="19"/>
        <v>0.30441713757053251</v>
      </c>
      <c r="CI29">
        <f t="shared" ca="1" si="19"/>
        <v>0.21838116346467248</v>
      </c>
      <c r="CJ29">
        <f t="shared" ca="1" si="19"/>
        <v>0.81145742643857754</v>
      </c>
      <c r="CK29">
        <f t="shared" ca="1" si="19"/>
        <v>0.55079412706555697</v>
      </c>
      <c r="CL29">
        <f t="shared" ca="1" si="19"/>
        <v>0.37512376864395203</v>
      </c>
      <c r="CM29">
        <f t="shared" ca="1" si="19"/>
        <v>1.1586457350906412</v>
      </c>
      <c r="CN29">
        <f t="shared" ca="1" si="19"/>
        <v>1.1299153974711926</v>
      </c>
      <c r="CO29">
        <f t="shared" ca="1" si="19"/>
        <v>1.2909794737557621</v>
      </c>
      <c r="CP29">
        <f t="shared" ca="1" si="19"/>
        <v>0.85201748711447001</v>
      </c>
      <c r="CQ29">
        <f t="shared" ca="1" si="19"/>
        <v>0.20726273976753964</v>
      </c>
      <c r="CR29">
        <f t="shared" ca="1" si="19"/>
        <v>-2.3169039020144075</v>
      </c>
      <c r="CS29">
        <f t="shared" ca="1" si="19"/>
        <v>0.14306051843297762</v>
      </c>
      <c r="CT29">
        <f t="shared" ca="1" si="19"/>
        <v>-0.80385272328995272</v>
      </c>
      <c r="CU29">
        <f t="shared" ca="1" si="19"/>
        <v>1.8522141131502785</v>
      </c>
      <c r="CV29">
        <f t="shared" ca="1" si="19"/>
        <v>0.64754183099113305</v>
      </c>
      <c r="CW29">
        <f t="shared" ca="1" si="19"/>
        <v>-0.3425942573673339</v>
      </c>
      <c r="CX29">
        <f t="shared" ca="1" si="19"/>
        <v>-0.69838761055196263</v>
      </c>
      <c r="CY29">
        <f t="shared" ca="1" si="19"/>
        <v>-0.65431740995096332</v>
      </c>
      <c r="CZ29">
        <f t="shared" ca="1" si="19"/>
        <v>0.21392857534170165</v>
      </c>
      <c r="DA29">
        <f t="shared" ca="1" si="19"/>
        <v>0.61341248074364807</v>
      </c>
      <c r="DB29">
        <f t="shared" ca="1" si="19"/>
        <v>0.36087165620924649</v>
      </c>
      <c r="DC29">
        <f t="shared" ca="1" si="19"/>
        <v>0.82605361352274864</v>
      </c>
      <c r="DD29">
        <f t="shared" ca="1" si="19"/>
        <v>0.4753417615646825</v>
      </c>
      <c r="DE29">
        <f t="shared" ca="1" si="19"/>
        <v>-0.47261991375900358</v>
      </c>
      <c r="DF29">
        <f t="shared" ca="1" si="19"/>
        <v>-1.9292360469908166E-2</v>
      </c>
      <c r="DG29">
        <f t="shared" ca="1" si="19"/>
        <v>0.41129909053048092</v>
      </c>
    </row>
    <row r="30" spans="1:111">
      <c r="A30" s="2">
        <v>45967</v>
      </c>
      <c r="B30">
        <v>268.77713012695313</v>
      </c>
      <c r="C30">
        <f t="shared" si="0"/>
        <v>-5.9531559071043284E-4</v>
      </c>
      <c r="J30">
        <v>8</v>
      </c>
      <c r="K30">
        <f t="shared" si="17"/>
        <v>0</v>
      </c>
      <c r="L30">
        <f t="shared" ca="1" si="16"/>
        <v>0.23784000659909116</v>
      </c>
      <c r="M30">
        <f t="shared" ca="1" si="20"/>
        <v>1.2868138868156136</v>
      </c>
      <c r="N30">
        <f t="shared" ca="1" si="20"/>
        <v>1.487572843703258</v>
      </c>
      <c r="O30">
        <f t="shared" ca="1" si="20"/>
        <v>0.58148109974589357</v>
      </c>
      <c r="P30">
        <f t="shared" ca="1" si="20"/>
        <v>0.75212006286500832</v>
      </c>
      <c r="Q30">
        <f t="shared" ca="1" si="20"/>
        <v>0.19517303072012268</v>
      </c>
      <c r="R30">
        <f t="shared" ca="1" si="20"/>
        <v>0.79266967833653557</v>
      </c>
      <c r="S30">
        <f t="shared" ca="1" si="20"/>
        <v>0.69403596443055671</v>
      </c>
      <c r="T30">
        <f t="shared" ca="1" si="20"/>
        <v>0.8558533499320552</v>
      </c>
      <c r="U30">
        <f t="shared" ca="1" si="20"/>
        <v>1.3150991314395086</v>
      </c>
      <c r="V30">
        <f t="shared" ca="1" si="20"/>
        <v>-1.0992711298519084</v>
      </c>
      <c r="W30">
        <f t="shared" ca="1" si="20"/>
        <v>2.5679819453482624</v>
      </c>
      <c r="X30">
        <f t="shared" ca="1" si="20"/>
        <v>0.30236936049820329</v>
      </c>
      <c r="Y30">
        <f t="shared" ca="1" si="20"/>
        <v>0.80367724467348545</v>
      </c>
      <c r="Z30">
        <f t="shared" ca="1" si="20"/>
        <v>-0.94447180638507156</v>
      </c>
      <c r="AA30">
        <f t="shared" ca="1" si="20"/>
        <v>0.58292160848312091</v>
      </c>
      <c r="AB30">
        <f t="shared" ca="1" si="20"/>
        <v>0.44683304211893915</v>
      </c>
      <c r="AC30">
        <f t="shared" ca="1" si="20"/>
        <v>-0.70190800739727732</v>
      </c>
      <c r="AD30">
        <f t="shared" ca="1" si="20"/>
        <v>1.3396626740337481</v>
      </c>
      <c r="AE30">
        <f t="shared" ca="1" si="20"/>
        <v>1.2045746166064815</v>
      </c>
      <c r="AF30">
        <f t="shared" ca="1" si="20"/>
        <v>0.36630923084350947</v>
      </c>
      <c r="AG30">
        <f t="shared" ca="1" si="20"/>
        <v>-0.56975290803277112</v>
      </c>
      <c r="AH30">
        <f t="shared" ca="1" si="20"/>
        <v>0.17108147704698004</v>
      </c>
      <c r="AI30">
        <f t="shared" ca="1" si="20"/>
        <v>-0.11583531985749435</v>
      </c>
      <c r="AJ30">
        <f t="shared" ca="1" si="20"/>
        <v>7.2479069433923099E-2</v>
      </c>
      <c r="AK30">
        <f t="shared" ca="1" si="20"/>
        <v>3.1658718337499843E-2</v>
      </c>
      <c r="AL30">
        <f t="shared" ca="1" si="20"/>
        <v>-0.44319049674315319</v>
      </c>
      <c r="AM30">
        <f t="shared" ca="1" si="20"/>
        <v>-1.5556206042767102</v>
      </c>
      <c r="AN30">
        <f t="shared" ca="1" si="20"/>
        <v>-1.1447026187306701</v>
      </c>
      <c r="AO30">
        <f t="shared" ca="1" si="20"/>
        <v>-0.71688470874671117</v>
      </c>
      <c r="AP30">
        <f t="shared" ca="1" si="20"/>
        <v>0.29408496491176966</v>
      </c>
      <c r="AQ30">
        <f t="shared" ca="1" si="20"/>
        <v>0.59106754004354967</v>
      </c>
      <c r="AR30">
        <f t="shared" ca="1" si="20"/>
        <v>0.19982643561000393</v>
      </c>
      <c r="AS30">
        <f t="shared" ca="1" si="20"/>
        <v>1.5174096673798256</v>
      </c>
      <c r="AT30">
        <f t="shared" ca="1" si="20"/>
        <v>0.17463343947807314</v>
      </c>
      <c r="AU30">
        <f t="shared" ca="1" si="20"/>
        <v>1.3685132842994674</v>
      </c>
      <c r="AV30">
        <f t="shared" ca="1" si="20"/>
        <v>-0.99560681343479307</v>
      </c>
      <c r="AW30">
        <f t="shared" ca="1" si="20"/>
        <v>0.63272639699929489</v>
      </c>
      <c r="AX30">
        <f t="shared" ca="1" si="20"/>
        <v>1.2830933221113625</v>
      </c>
      <c r="AY30">
        <f t="shared" ca="1" si="20"/>
        <v>-0.22775283767962767</v>
      </c>
      <c r="AZ30">
        <f t="shared" ca="1" si="20"/>
        <v>-1.2594658620936603</v>
      </c>
      <c r="BA30">
        <f t="shared" ca="1" si="20"/>
        <v>-0.44833808720841895</v>
      </c>
      <c r="BB30">
        <f t="shared" ca="1" si="20"/>
        <v>0.42326950896146326</v>
      </c>
      <c r="BC30">
        <f t="shared" ca="1" si="20"/>
        <v>-0.5353188971593974</v>
      </c>
      <c r="BD30">
        <f t="shared" ca="1" si="20"/>
        <v>2.7621624147808169E-2</v>
      </c>
      <c r="BE30">
        <f t="shared" ca="1" si="20"/>
        <v>0.2252408294907825</v>
      </c>
      <c r="BF30">
        <f t="shared" ca="1" si="20"/>
        <v>1.0540654180045783</v>
      </c>
      <c r="BG30">
        <f t="shared" ca="1" si="20"/>
        <v>-0.60927190994988767</v>
      </c>
      <c r="BH30">
        <f t="shared" ca="1" si="20"/>
        <v>1.0136553214222848</v>
      </c>
      <c r="BI30">
        <f t="shared" ca="1" si="20"/>
        <v>0.32410881744732056</v>
      </c>
      <c r="BJ30">
        <f t="shared" ca="1" si="20"/>
        <v>2.1961104753555971</v>
      </c>
      <c r="BK30">
        <f t="shared" ca="1" si="20"/>
        <v>-0.85347125284776137</v>
      </c>
      <c r="BL30">
        <f t="shared" ca="1" si="20"/>
        <v>-0.84761482320398207</v>
      </c>
      <c r="BM30">
        <f t="shared" ca="1" si="20"/>
        <v>-0.94406052216146996</v>
      </c>
      <c r="BN30">
        <f t="shared" ca="1" si="20"/>
        <v>-0.6073982748506479</v>
      </c>
      <c r="BO30">
        <f t="shared" ca="1" si="20"/>
        <v>0.11151981165867526</v>
      </c>
      <c r="BP30">
        <f t="shared" ca="1" si="20"/>
        <v>0.84149647266786731</v>
      </c>
      <c r="BQ30">
        <f t="shared" ca="1" si="20"/>
        <v>0.5424842387718648</v>
      </c>
      <c r="BR30">
        <f t="shared" ca="1" si="20"/>
        <v>-0.98642078591359483</v>
      </c>
      <c r="BS30">
        <f t="shared" ca="1" si="20"/>
        <v>0.67246863718626304</v>
      </c>
      <c r="BT30">
        <f t="shared" ca="1" si="20"/>
        <v>-1.489262844739119</v>
      </c>
      <c r="BU30">
        <f t="shared" ca="1" si="20"/>
        <v>0.95003503568193048</v>
      </c>
      <c r="BV30">
        <f t="shared" ca="1" si="20"/>
        <v>-0.25825451678613376</v>
      </c>
      <c r="BW30">
        <f t="shared" ca="1" si="20"/>
        <v>7.6976664582862564E-2</v>
      </c>
      <c r="BX30">
        <f t="shared" ca="1" si="20"/>
        <v>0.85998347577892142</v>
      </c>
      <c r="BY30">
        <f t="shared" ca="1" si="19"/>
        <v>2.3868664084259672</v>
      </c>
      <c r="BZ30">
        <f t="shared" ca="1" si="19"/>
        <v>2.0572891208148687</v>
      </c>
      <c r="CA30">
        <f t="shared" ca="1" si="19"/>
        <v>0.22733497888618917</v>
      </c>
      <c r="CB30">
        <f t="shared" ca="1" si="19"/>
        <v>0.41059470130042347</v>
      </c>
      <c r="CC30">
        <f t="shared" ca="1" si="19"/>
        <v>0.89748893389333839</v>
      </c>
      <c r="CD30">
        <f t="shared" ca="1" si="19"/>
        <v>-0.59708389708421417</v>
      </c>
      <c r="CE30">
        <f t="shared" ca="1" si="19"/>
        <v>0.35748075137348534</v>
      </c>
      <c r="CF30">
        <f t="shared" ca="1" si="19"/>
        <v>-0.12868398346093446</v>
      </c>
      <c r="CG30">
        <f t="shared" ca="1" si="19"/>
        <v>-0.89084147504451594</v>
      </c>
      <c r="CH30">
        <f t="shared" ca="1" si="19"/>
        <v>-0.94158630549059696</v>
      </c>
      <c r="CI30">
        <f t="shared" ca="1" si="19"/>
        <v>0.8210902721001343</v>
      </c>
      <c r="CJ30">
        <f t="shared" ca="1" si="19"/>
        <v>0.39251925600162957</v>
      </c>
      <c r="CK30">
        <f t="shared" ca="1" si="19"/>
        <v>-1.0256888156354116</v>
      </c>
      <c r="CL30">
        <f t="shared" ca="1" si="19"/>
        <v>-0.8442935943527311</v>
      </c>
      <c r="CM30">
        <f t="shared" ca="1" si="19"/>
        <v>1.4487281604544378</v>
      </c>
      <c r="CN30">
        <f t="shared" ca="1" si="19"/>
        <v>0.68797441266604131</v>
      </c>
      <c r="CO30">
        <f t="shared" ca="1" si="19"/>
        <v>0.47037887478416313</v>
      </c>
      <c r="CP30">
        <f t="shared" ca="1" si="19"/>
        <v>-0.12617254234688241</v>
      </c>
      <c r="CQ30">
        <f t="shared" ca="1" si="19"/>
        <v>-0.59313996033332694</v>
      </c>
      <c r="CR30">
        <f t="shared" ca="1" si="19"/>
        <v>1.8125288539895206</v>
      </c>
      <c r="CS30">
        <f t="shared" ca="1" si="19"/>
        <v>-0.36213318646508669</v>
      </c>
      <c r="CT30">
        <f t="shared" ca="1" si="19"/>
        <v>-1.425688004807466</v>
      </c>
      <c r="CU30">
        <f t="shared" ca="1" si="19"/>
        <v>0.18084629418970638</v>
      </c>
      <c r="CV30">
        <f t="shared" ca="1" si="19"/>
        <v>0.39431007327287632</v>
      </c>
      <c r="CW30">
        <f t="shared" ca="1" si="19"/>
        <v>-0.61856525711486854</v>
      </c>
      <c r="CX30">
        <f t="shared" ca="1" si="19"/>
        <v>-1.0047302591107601</v>
      </c>
      <c r="CY30">
        <f t="shared" ca="1" si="19"/>
        <v>0.3104608380034134</v>
      </c>
      <c r="CZ30">
        <f t="shared" ca="1" si="19"/>
        <v>0.3080706397633648</v>
      </c>
      <c r="DA30">
        <f t="shared" ca="1" si="19"/>
        <v>0.33180018325319272</v>
      </c>
      <c r="DB30">
        <f t="shared" ca="1" si="19"/>
        <v>-0.16505052603555953</v>
      </c>
      <c r="DC30">
        <f t="shared" ca="1" si="19"/>
        <v>-0.23962769209462401</v>
      </c>
      <c r="DD30">
        <f t="shared" ca="1" si="19"/>
        <v>2.4203731121535013</v>
      </c>
      <c r="DE30">
        <f t="shared" ca="1" si="19"/>
        <v>-1.79583847259068</v>
      </c>
      <c r="DF30">
        <f t="shared" ca="1" si="19"/>
        <v>1.5913125049643675</v>
      </c>
      <c r="DG30">
        <f t="shared" ca="1" si="19"/>
        <v>0.21883619936363544</v>
      </c>
    </row>
    <row r="31" spans="1:111">
      <c r="A31" s="2">
        <v>45968</v>
      </c>
      <c r="B31">
        <v>267.48193359375</v>
      </c>
      <c r="C31">
        <f t="shared" si="0"/>
        <v>-2.0978584388234391E-3</v>
      </c>
      <c r="J31">
        <v>9</v>
      </c>
      <c r="K31">
        <f t="shared" si="17"/>
        <v>0</v>
      </c>
      <c r="L31">
        <f t="shared" ca="1" si="16"/>
        <v>-0.46166284362262922</v>
      </c>
      <c r="M31">
        <f t="shared" ca="1" si="20"/>
        <v>-0.14738505482284819</v>
      </c>
      <c r="N31">
        <f t="shared" ca="1" si="20"/>
        <v>1.2382640440773549</v>
      </c>
      <c r="O31">
        <f t="shared" ca="1" si="20"/>
        <v>1.1607166069149297</v>
      </c>
      <c r="P31">
        <f t="shared" ca="1" si="20"/>
        <v>0.3779785074595744</v>
      </c>
      <c r="Q31">
        <f t="shared" ca="1" si="20"/>
        <v>-1.344056459465808</v>
      </c>
      <c r="R31">
        <f t="shared" ca="1" si="20"/>
        <v>-1.4970594287116779</v>
      </c>
      <c r="S31">
        <f t="shared" ca="1" si="20"/>
        <v>0.64180312120139693</v>
      </c>
      <c r="T31">
        <f t="shared" ca="1" si="20"/>
        <v>-0.31578750422534635</v>
      </c>
      <c r="U31">
        <f t="shared" ca="1" si="20"/>
        <v>0.55243879936481177</v>
      </c>
      <c r="V31">
        <f t="shared" ca="1" si="20"/>
        <v>-0.65376377503264504</v>
      </c>
      <c r="W31">
        <f t="shared" ca="1" si="20"/>
        <v>0.26668486510954698</v>
      </c>
      <c r="X31">
        <f t="shared" ca="1" si="20"/>
        <v>-0.35333900531896956</v>
      </c>
      <c r="Y31">
        <f t="shared" ca="1" si="20"/>
        <v>0.5250369561332966</v>
      </c>
      <c r="Z31">
        <f t="shared" ca="1" si="20"/>
        <v>-0.93150841121932093</v>
      </c>
      <c r="AA31">
        <f t="shared" ca="1" si="20"/>
        <v>0.27674981937281296</v>
      </c>
      <c r="AB31">
        <f t="shared" ca="1" si="20"/>
        <v>-0.73407182223219059</v>
      </c>
      <c r="AC31">
        <f t="shared" ca="1" si="20"/>
        <v>-3.0749231189935879</v>
      </c>
      <c r="AD31">
        <f t="shared" ca="1" si="20"/>
        <v>0.15568756870593414</v>
      </c>
      <c r="AE31">
        <f t="shared" ca="1" si="20"/>
        <v>-0.13243627763591781</v>
      </c>
      <c r="AF31">
        <f t="shared" ca="1" si="20"/>
        <v>-0.60519236468341431</v>
      </c>
      <c r="AG31">
        <f t="shared" ca="1" si="20"/>
        <v>7.4633427077869824E-2</v>
      </c>
      <c r="AH31">
        <f t="shared" ca="1" si="20"/>
        <v>-0.39719585561445425</v>
      </c>
      <c r="AI31">
        <f t="shared" ca="1" si="20"/>
        <v>-6.6082395132856256E-2</v>
      </c>
      <c r="AJ31">
        <f t="shared" ca="1" si="20"/>
        <v>1.3900470512595644</v>
      </c>
      <c r="AK31">
        <f t="shared" ca="1" si="20"/>
        <v>0.96393838510907126</v>
      </c>
      <c r="AL31">
        <f t="shared" ca="1" si="20"/>
        <v>-1.1178028282896093</v>
      </c>
      <c r="AM31">
        <f t="shared" ca="1" si="20"/>
        <v>1.1082313457971114</v>
      </c>
      <c r="AN31">
        <f t="shared" ca="1" si="20"/>
        <v>-1.0368542256962152</v>
      </c>
      <c r="AO31">
        <f t="shared" ca="1" si="20"/>
        <v>-0.49312623877309958</v>
      </c>
      <c r="AP31">
        <f t="shared" ca="1" si="20"/>
        <v>-0.95206876296408161</v>
      </c>
      <c r="AQ31">
        <f t="shared" ca="1" si="20"/>
        <v>1.2764581770271279</v>
      </c>
      <c r="AR31">
        <f t="shared" ca="1" si="20"/>
        <v>-0.91593185667943688</v>
      </c>
      <c r="AS31">
        <f t="shared" ca="1" si="20"/>
        <v>-0.75473822342936026</v>
      </c>
      <c r="AT31">
        <f t="shared" ca="1" si="20"/>
        <v>0.84972297358756144</v>
      </c>
      <c r="AU31">
        <f t="shared" ca="1" si="20"/>
        <v>-1.338714724431731</v>
      </c>
      <c r="AV31">
        <f t="shared" ca="1" si="20"/>
        <v>1.3455839917440575</v>
      </c>
      <c r="AW31">
        <f t="shared" ca="1" si="20"/>
        <v>-1.2304323854088723</v>
      </c>
      <c r="AX31">
        <f t="shared" ca="1" si="20"/>
        <v>0.50168667124774069</v>
      </c>
      <c r="AY31">
        <f t="shared" ca="1" si="20"/>
        <v>1.1638294350287817</v>
      </c>
      <c r="AZ31">
        <f t="shared" ca="1" si="20"/>
        <v>0.98384552911106671</v>
      </c>
      <c r="BA31">
        <f t="shared" ca="1" si="20"/>
        <v>1.7025534641339779</v>
      </c>
      <c r="BB31">
        <f t="shared" ca="1" si="20"/>
        <v>0.65230282021838559</v>
      </c>
      <c r="BC31">
        <f t="shared" ca="1" si="20"/>
        <v>-2.1006174214975779</v>
      </c>
      <c r="BD31">
        <f t="shared" ca="1" si="20"/>
        <v>0.52686550704105362</v>
      </c>
      <c r="BE31">
        <f t="shared" ca="1" si="20"/>
        <v>-0.71908948212869983</v>
      </c>
      <c r="BF31">
        <f t="shared" ca="1" si="20"/>
        <v>-2.0130266964401518</v>
      </c>
      <c r="BG31">
        <f t="shared" ca="1" si="20"/>
        <v>-1.438103116585784</v>
      </c>
      <c r="BH31">
        <f t="shared" ca="1" si="20"/>
        <v>0.46327813386683309</v>
      </c>
      <c r="BI31">
        <f t="shared" ca="1" si="20"/>
        <v>-0.60682722026176661</v>
      </c>
      <c r="BJ31">
        <f t="shared" ca="1" si="20"/>
        <v>-1.1925767535314304</v>
      </c>
      <c r="BK31">
        <f t="shared" ca="1" si="20"/>
        <v>-0.82503226693249243</v>
      </c>
      <c r="BL31">
        <f t="shared" ca="1" si="20"/>
        <v>-0.10697111515545872</v>
      </c>
      <c r="BM31">
        <f t="shared" ca="1" si="20"/>
        <v>0.43098376761004015</v>
      </c>
      <c r="BN31">
        <f t="shared" ca="1" si="20"/>
        <v>-0.59471106179410083</v>
      </c>
      <c r="BO31">
        <f t="shared" ca="1" si="20"/>
        <v>0.54355104289394574</v>
      </c>
      <c r="BP31">
        <f t="shared" ca="1" si="20"/>
        <v>-2.0280798862145115</v>
      </c>
      <c r="BQ31">
        <f t="shared" ca="1" si="20"/>
        <v>0.41728899092230581</v>
      </c>
      <c r="BR31">
        <f t="shared" ca="1" si="20"/>
        <v>0.47772585636746434</v>
      </c>
      <c r="BS31">
        <f t="shared" ca="1" si="20"/>
        <v>-0.31500238843624084</v>
      </c>
      <c r="BT31">
        <f t="shared" ca="1" si="20"/>
        <v>0.14597109489821466</v>
      </c>
      <c r="BU31">
        <f t="shared" ca="1" si="20"/>
        <v>-0.7939367693338667</v>
      </c>
      <c r="BV31">
        <f t="shared" ca="1" si="20"/>
        <v>-0.43977309266067038</v>
      </c>
      <c r="BW31">
        <f t="shared" ca="1" si="20"/>
        <v>0.47706990370397923</v>
      </c>
      <c r="BX31">
        <f t="shared" ca="1" si="20"/>
        <v>-0.19280575154101934</v>
      </c>
      <c r="BY31">
        <f t="shared" ca="1" si="19"/>
        <v>0.97420435787591853</v>
      </c>
      <c r="BZ31">
        <f t="shared" ca="1" si="19"/>
        <v>0.41324783845138813</v>
      </c>
      <c r="CA31">
        <f t="shared" ca="1" si="19"/>
        <v>0.33681465413932937</v>
      </c>
      <c r="CB31">
        <f t="shared" ca="1" si="19"/>
        <v>1.5211143964696854</v>
      </c>
      <c r="CC31">
        <f t="shared" ca="1" si="19"/>
        <v>1.4002249485335845</v>
      </c>
      <c r="CD31">
        <f t="shared" ca="1" si="19"/>
        <v>-0.72281217414964516</v>
      </c>
      <c r="CE31">
        <f t="shared" ca="1" si="19"/>
        <v>-0.58814027071611719</v>
      </c>
      <c r="CF31">
        <f t="shared" ca="1" si="19"/>
        <v>0.42214226669376165</v>
      </c>
      <c r="CG31">
        <f t="shared" ca="1" si="19"/>
        <v>1.0878404260082708</v>
      </c>
      <c r="CH31">
        <f t="shared" ca="1" si="19"/>
        <v>-1.9888590435743674</v>
      </c>
      <c r="CI31">
        <f t="shared" ca="1" si="19"/>
        <v>0.78046569429535773</v>
      </c>
      <c r="CJ31">
        <f t="shared" ca="1" si="19"/>
        <v>-0.50765803171427748</v>
      </c>
      <c r="CK31">
        <f t="shared" ca="1" si="19"/>
        <v>0.1205785467561781</v>
      </c>
      <c r="CL31">
        <f t="shared" ca="1" si="19"/>
        <v>-0.48134565533308715</v>
      </c>
      <c r="CM31">
        <f t="shared" ca="1" si="19"/>
        <v>-1.4925965433449846</v>
      </c>
      <c r="CN31">
        <f t="shared" ca="1" si="19"/>
        <v>0.49504110192674816</v>
      </c>
      <c r="CO31">
        <f t="shared" ca="1" si="19"/>
        <v>0.72368503371748838</v>
      </c>
      <c r="CP31">
        <f t="shared" ca="1" si="19"/>
        <v>-0.61928822052177113</v>
      </c>
      <c r="CQ31">
        <f t="shared" ca="1" si="19"/>
        <v>-0.62946572783408328</v>
      </c>
      <c r="CR31">
        <f t="shared" ca="1" si="19"/>
        <v>-1.4903156743344639</v>
      </c>
      <c r="CS31">
        <f t="shared" ca="1" si="19"/>
        <v>0.18387077747249606</v>
      </c>
      <c r="CT31">
        <f t="shared" ca="1" si="19"/>
        <v>-0.57711996589360204</v>
      </c>
      <c r="CU31">
        <f t="shared" ca="1" si="19"/>
        <v>0.83829174886309987</v>
      </c>
      <c r="CV31">
        <f t="shared" ca="1" si="19"/>
        <v>-1.4040230882077729</v>
      </c>
      <c r="CW31">
        <f t="shared" ca="1" si="19"/>
        <v>0.56082730122067082</v>
      </c>
      <c r="CX31">
        <f t="shared" ca="1" si="19"/>
        <v>-0.91753143258534053</v>
      </c>
      <c r="CY31">
        <f t="shared" ca="1" si="19"/>
        <v>-0.25158488591443529</v>
      </c>
      <c r="CZ31">
        <f t="shared" ca="1" si="19"/>
        <v>-1.4571068359279031</v>
      </c>
      <c r="DA31">
        <f t="shared" ca="1" si="19"/>
        <v>0.21554665242129811</v>
      </c>
      <c r="DB31">
        <f t="shared" ca="1" si="19"/>
        <v>1.1752774795123613</v>
      </c>
      <c r="DC31">
        <f t="shared" ca="1" si="19"/>
        <v>0.71152537898922696</v>
      </c>
      <c r="DD31">
        <f t="shared" ca="1" si="19"/>
        <v>0.31063573453520515</v>
      </c>
      <c r="DE31">
        <f t="shared" ca="1" si="19"/>
        <v>1.767146842909088</v>
      </c>
      <c r="DF31">
        <f t="shared" ca="1" si="19"/>
        <v>-0.75720373464866364</v>
      </c>
      <c r="DG31">
        <f t="shared" ca="1" si="19"/>
        <v>0.17384141216576501</v>
      </c>
    </row>
    <row r="32" spans="1:111">
      <c r="A32" s="2">
        <v>45971</v>
      </c>
      <c r="B32">
        <v>268.6986083984375</v>
      </c>
      <c r="C32">
        <f t="shared" si="0"/>
        <v>1.9709632091335374E-3</v>
      </c>
      <c r="J32">
        <v>10</v>
      </c>
      <c r="K32">
        <f t="shared" si="17"/>
        <v>0</v>
      </c>
      <c r="L32">
        <f t="shared" ca="1" si="16"/>
        <v>0.76664362149773346</v>
      </c>
      <c r="M32">
        <f t="shared" ca="1" si="20"/>
        <v>-0.50998341143482373</v>
      </c>
      <c r="N32">
        <f t="shared" ca="1" si="20"/>
        <v>-0.77484209212399169</v>
      </c>
      <c r="O32">
        <f t="shared" ca="1" si="20"/>
        <v>-0.20731855429619772</v>
      </c>
      <c r="P32">
        <f t="shared" ca="1" si="20"/>
        <v>-0.3932730951958831</v>
      </c>
      <c r="Q32">
        <f t="shared" ca="1" si="20"/>
        <v>0.14261755163915663</v>
      </c>
      <c r="R32">
        <f t="shared" ca="1" si="20"/>
        <v>-0.10370603490676575</v>
      </c>
      <c r="S32">
        <f t="shared" ca="1" si="20"/>
        <v>-0.51194445376789477</v>
      </c>
      <c r="T32">
        <f t="shared" ca="1" si="20"/>
        <v>3.2769835267656968E-3</v>
      </c>
      <c r="U32">
        <f t="shared" ca="1" si="20"/>
        <v>0.66120725374137224</v>
      </c>
      <c r="V32">
        <f t="shared" ca="1" si="20"/>
        <v>0.81155032984957531</v>
      </c>
      <c r="W32">
        <f t="shared" ca="1" si="20"/>
        <v>0.28108285729420779</v>
      </c>
      <c r="X32">
        <f t="shared" ca="1" si="20"/>
        <v>-1.6640032370411875</v>
      </c>
      <c r="Y32">
        <f t="shared" ca="1" si="20"/>
        <v>-7.9688266976895752E-2</v>
      </c>
      <c r="Z32">
        <f t="shared" ca="1" si="20"/>
        <v>-0.48441276142087969</v>
      </c>
      <c r="AA32">
        <f t="shared" ca="1" si="20"/>
        <v>1.6238292681523396</v>
      </c>
      <c r="AB32">
        <f t="shared" ca="1" si="20"/>
        <v>0.70052690438163112</v>
      </c>
      <c r="AC32">
        <f t="shared" ca="1" si="20"/>
        <v>-2.5047832381717354</v>
      </c>
      <c r="AD32">
        <f t="shared" ca="1" si="20"/>
        <v>-6.26231785413357E-2</v>
      </c>
      <c r="AE32">
        <f t="shared" ca="1" si="20"/>
        <v>0.48995531599345332</v>
      </c>
      <c r="AF32">
        <f t="shared" ca="1" si="20"/>
        <v>-0.85589786323205352</v>
      </c>
      <c r="AG32">
        <f t="shared" ca="1" si="20"/>
        <v>-0.23314986213092875</v>
      </c>
      <c r="AH32">
        <f t="shared" ca="1" si="20"/>
        <v>1.2208963838458633</v>
      </c>
      <c r="AI32">
        <f t="shared" ca="1" si="20"/>
        <v>-0.97662662342055717</v>
      </c>
      <c r="AJ32">
        <f t="shared" ca="1" si="20"/>
        <v>0.92721462072656069</v>
      </c>
      <c r="AK32">
        <f t="shared" ca="1" si="20"/>
        <v>-1.7933661810357295</v>
      </c>
      <c r="AL32">
        <f t="shared" ca="1" si="20"/>
        <v>0.21764223744177272</v>
      </c>
      <c r="AM32">
        <f t="shared" ca="1" si="20"/>
        <v>0.52141796686721298</v>
      </c>
      <c r="AN32">
        <f t="shared" ca="1" si="20"/>
        <v>-0.23326814913105515</v>
      </c>
      <c r="AO32">
        <f t="shared" ca="1" si="20"/>
        <v>1.1922594033005625</v>
      </c>
      <c r="AP32">
        <f t="shared" ca="1" si="20"/>
        <v>0.38273942927008864</v>
      </c>
      <c r="AQ32">
        <f t="shared" ca="1" si="20"/>
        <v>-2.0267392266288815</v>
      </c>
      <c r="AR32">
        <f t="shared" ca="1" si="20"/>
        <v>1.0729738493387941</v>
      </c>
      <c r="AS32">
        <f t="shared" ca="1" si="20"/>
        <v>-0.74148038955169016</v>
      </c>
      <c r="AT32">
        <f t="shared" ca="1" si="20"/>
        <v>-0.31774341048766086</v>
      </c>
      <c r="AU32">
        <f t="shared" ca="1" si="20"/>
        <v>1.7323637341457805</v>
      </c>
      <c r="AV32">
        <f t="shared" ca="1" si="20"/>
        <v>-0.89677735510811685</v>
      </c>
      <c r="AW32">
        <f t="shared" ca="1" si="20"/>
        <v>-1.7807147259235854</v>
      </c>
      <c r="AX32">
        <f t="shared" ca="1" si="20"/>
        <v>0.34031104776049803</v>
      </c>
      <c r="AY32">
        <f t="shared" ca="1" si="20"/>
        <v>-0.89861407268253291</v>
      </c>
      <c r="AZ32">
        <f t="shared" ca="1" si="20"/>
        <v>-0.92316585669601925</v>
      </c>
      <c r="BA32">
        <f t="shared" ca="1" si="20"/>
        <v>0.78152555261801682</v>
      </c>
      <c r="BB32">
        <f t="shared" ca="1" si="20"/>
        <v>0.34014482135160751</v>
      </c>
      <c r="BC32">
        <f t="shared" ca="1" si="20"/>
        <v>1.5760179156974685</v>
      </c>
      <c r="BD32">
        <f t="shared" ca="1" si="20"/>
        <v>0.14629262981466107</v>
      </c>
      <c r="BE32">
        <f t="shared" ca="1" si="20"/>
        <v>-1.7008864247149813</v>
      </c>
      <c r="BF32">
        <f t="shared" ca="1" si="20"/>
        <v>1.4924670994113753</v>
      </c>
      <c r="BG32">
        <f t="shared" ca="1" si="20"/>
        <v>0.96055387075436249</v>
      </c>
      <c r="BH32">
        <f t="shared" ca="1" si="20"/>
        <v>0.19551256391526403</v>
      </c>
      <c r="BI32">
        <f t="shared" ca="1" si="20"/>
        <v>0.59308404576692153</v>
      </c>
      <c r="BJ32">
        <f t="shared" ca="1" si="20"/>
        <v>1.2213478215673879</v>
      </c>
      <c r="BK32">
        <f t="shared" ca="1" si="20"/>
        <v>1.8123264786892388</v>
      </c>
      <c r="BL32">
        <f t="shared" ca="1" si="20"/>
        <v>2.8813025988510127E-2</v>
      </c>
      <c r="BM32">
        <f t="shared" ca="1" si="20"/>
        <v>-0.61703154553882922</v>
      </c>
      <c r="BN32">
        <f t="shared" ca="1" si="20"/>
        <v>0.86098400491887506</v>
      </c>
      <c r="BO32">
        <f t="shared" ca="1" si="20"/>
        <v>0.85893592761249615</v>
      </c>
      <c r="BP32">
        <f t="shared" ca="1" si="20"/>
        <v>0.30189370913777597</v>
      </c>
      <c r="BQ32">
        <f t="shared" ca="1" si="20"/>
        <v>4.9269129557363574E-2</v>
      </c>
      <c r="BR32">
        <f t="shared" ca="1" si="20"/>
        <v>2.0548297390149481</v>
      </c>
      <c r="BS32">
        <f t="shared" ca="1" si="20"/>
        <v>0.94469739967494448</v>
      </c>
      <c r="BT32">
        <f t="shared" ca="1" si="20"/>
        <v>2.8321945164255052E-2</v>
      </c>
      <c r="BU32">
        <f t="shared" ca="1" si="20"/>
        <v>0.62001554904399947</v>
      </c>
      <c r="BV32">
        <f t="shared" ca="1" si="20"/>
        <v>9.4706266695613897E-2</v>
      </c>
      <c r="BW32">
        <f t="shared" ca="1" si="20"/>
        <v>-1.2289382236546105E-2</v>
      </c>
      <c r="BX32">
        <f t="shared" ref="BX32:DG32" ca="1" si="21">$G$11*NORMSINV(RAND())</f>
        <v>9.32403697710735E-2</v>
      </c>
      <c r="BY32">
        <f t="shared" ca="1" si="21"/>
        <v>-1.9454560570043272E-2</v>
      </c>
      <c r="BZ32">
        <f t="shared" ca="1" si="21"/>
        <v>-0.66021568636358285</v>
      </c>
      <c r="CA32">
        <f t="shared" ca="1" si="21"/>
        <v>0.34371010971144006</v>
      </c>
      <c r="CB32">
        <f t="shared" ca="1" si="21"/>
        <v>0.74813581770701953</v>
      </c>
      <c r="CC32">
        <f t="shared" ca="1" si="21"/>
        <v>1.6371281761134084</v>
      </c>
      <c r="CD32">
        <f t="shared" ca="1" si="21"/>
        <v>-0.10153782388417927</v>
      </c>
      <c r="CE32">
        <f t="shared" ca="1" si="21"/>
        <v>0.45611495665643753</v>
      </c>
      <c r="CF32">
        <f t="shared" ca="1" si="21"/>
        <v>0.35850538208001859</v>
      </c>
      <c r="CG32">
        <f t="shared" ca="1" si="21"/>
        <v>0.4493230530225546</v>
      </c>
      <c r="CH32">
        <f t="shared" ca="1" si="21"/>
        <v>-0.85926139528659717</v>
      </c>
      <c r="CI32">
        <f t="shared" ca="1" si="21"/>
        <v>0.74363337033497734</v>
      </c>
      <c r="CJ32">
        <f t="shared" ca="1" si="21"/>
        <v>-0.76235004922164773</v>
      </c>
      <c r="CK32">
        <f t="shared" ca="1" si="21"/>
        <v>-2.1217558348880905</v>
      </c>
      <c r="CL32">
        <f t="shared" ca="1" si="21"/>
        <v>-0.53925750750261703</v>
      </c>
      <c r="CM32">
        <f t="shared" ca="1" si="21"/>
        <v>-3.7213022473580458E-2</v>
      </c>
      <c r="CN32">
        <f t="shared" ca="1" si="21"/>
        <v>-0.86500943187909141</v>
      </c>
      <c r="CO32">
        <f t="shared" ca="1" si="21"/>
        <v>-0.34437937409490887</v>
      </c>
      <c r="CP32">
        <f t="shared" ca="1" si="21"/>
        <v>9.9331013009973226E-2</v>
      </c>
      <c r="CQ32">
        <f t="shared" ca="1" si="21"/>
        <v>1.5983677500316735</v>
      </c>
      <c r="CR32">
        <f t="shared" ca="1" si="21"/>
        <v>0.15841738669289432</v>
      </c>
      <c r="CS32">
        <f t="shared" ca="1" si="21"/>
        <v>1.2117179472785704</v>
      </c>
      <c r="CT32">
        <f t="shared" ca="1" si="21"/>
        <v>-0.59286405232289185</v>
      </c>
      <c r="CU32">
        <f t="shared" ca="1" si="21"/>
        <v>-0.53649152711017201</v>
      </c>
      <c r="CV32">
        <f t="shared" ca="1" si="21"/>
        <v>-0.77171967981825107</v>
      </c>
      <c r="CW32">
        <f t="shared" ca="1" si="21"/>
        <v>-0.25429500013024675</v>
      </c>
      <c r="CX32">
        <f t="shared" ca="1" si="21"/>
        <v>-9.1863277815861823E-3</v>
      </c>
      <c r="CY32">
        <f t="shared" ca="1" si="21"/>
        <v>1.0672916017308356</v>
      </c>
      <c r="CZ32">
        <f t="shared" ca="1" si="21"/>
        <v>0.76394655058420324</v>
      </c>
      <c r="DA32">
        <f t="shared" ca="1" si="21"/>
        <v>2.4437539203658272</v>
      </c>
      <c r="DB32">
        <f t="shared" ca="1" si="21"/>
        <v>1.0658809209442588</v>
      </c>
      <c r="DC32">
        <f t="shared" ca="1" si="21"/>
        <v>-1.1703536400019725</v>
      </c>
      <c r="DD32">
        <f t="shared" ca="1" si="21"/>
        <v>-1.2660277530856539</v>
      </c>
      <c r="DE32">
        <f t="shared" ca="1" si="21"/>
        <v>-0.60394377306363256</v>
      </c>
      <c r="DF32">
        <f t="shared" ca="1" si="21"/>
        <v>-0.95017389400600372</v>
      </c>
      <c r="DG32">
        <f t="shared" ca="1" si="21"/>
        <v>-0.65345109018335978</v>
      </c>
    </row>
    <row r="33" spans="1:111">
      <c r="A33" s="2">
        <v>45972</v>
      </c>
      <c r="B33">
        <v>274.5028076171875</v>
      </c>
      <c r="C33">
        <f t="shared" si="0"/>
        <v>9.2813735673648035E-3</v>
      </c>
    </row>
    <row r="34" spans="1:111">
      <c r="A34" s="2">
        <v>45973</v>
      </c>
      <c r="B34">
        <v>272.72763061523438</v>
      </c>
      <c r="C34">
        <f t="shared" si="0"/>
        <v>-2.8176513101556872E-3</v>
      </c>
    </row>
    <row r="35" spans="1:111">
      <c r="A35" s="2">
        <v>45974</v>
      </c>
      <c r="B35">
        <v>272.20907592773438</v>
      </c>
      <c r="C35">
        <f t="shared" si="0"/>
        <v>-8.2653821854243353E-4</v>
      </c>
    </row>
    <row r="36" spans="1:111">
      <c r="A36" s="2">
        <v>45975</v>
      </c>
      <c r="B36">
        <v>271.67050170898438</v>
      </c>
      <c r="C36">
        <f t="shared" si="0"/>
        <v>-8.6011645727834503E-4</v>
      </c>
      <c r="K36">
        <v>0</v>
      </c>
      <c r="L36">
        <v>1</v>
      </c>
      <c r="M36">
        <f>+L36+1</f>
        <v>2</v>
      </c>
      <c r="N36">
        <f t="shared" ref="N36:AK36" si="22">+M36+1</f>
        <v>3</v>
      </c>
      <c r="O36">
        <f t="shared" si="22"/>
        <v>4</v>
      </c>
      <c r="P36">
        <f t="shared" si="22"/>
        <v>5</v>
      </c>
      <c r="Q36">
        <f t="shared" si="22"/>
        <v>6</v>
      </c>
      <c r="R36">
        <f t="shared" si="22"/>
        <v>7</v>
      </c>
      <c r="S36">
        <f t="shared" si="22"/>
        <v>8</v>
      </c>
      <c r="T36">
        <f t="shared" si="22"/>
        <v>9</v>
      </c>
      <c r="U36">
        <f t="shared" si="22"/>
        <v>10</v>
      </c>
      <c r="V36">
        <f t="shared" si="22"/>
        <v>11</v>
      </c>
      <c r="W36">
        <f t="shared" si="22"/>
        <v>12</v>
      </c>
      <c r="X36">
        <f t="shared" si="22"/>
        <v>13</v>
      </c>
      <c r="Y36">
        <f t="shared" si="22"/>
        <v>14</v>
      </c>
      <c r="Z36">
        <f t="shared" si="22"/>
        <v>15</v>
      </c>
      <c r="AA36">
        <f t="shared" si="22"/>
        <v>16</v>
      </c>
      <c r="AB36">
        <f t="shared" si="22"/>
        <v>17</v>
      </c>
      <c r="AC36">
        <f t="shared" si="22"/>
        <v>18</v>
      </c>
      <c r="AD36">
        <f t="shared" si="22"/>
        <v>19</v>
      </c>
      <c r="AE36">
        <f t="shared" si="22"/>
        <v>20</v>
      </c>
      <c r="AF36">
        <f t="shared" si="22"/>
        <v>21</v>
      </c>
      <c r="AG36">
        <f t="shared" si="22"/>
        <v>22</v>
      </c>
      <c r="AH36">
        <f t="shared" si="22"/>
        <v>23</v>
      </c>
      <c r="AI36">
        <f t="shared" si="22"/>
        <v>24</v>
      </c>
      <c r="AJ36">
        <f t="shared" si="22"/>
        <v>25</v>
      </c>
      <c r="AK36">
        <f t="shared" si="22"/>
        <v>26</v>
      </c>
      <c r="AL36">
        <f>+AK36+1</f>
        <v>27</v>
      </c>
      <c r="AM36">
        <f t="shared" ref="AM36:CX36" si="23">+AL36+1</f>
        <v>28</v>
      </c>
      <c r="AN36">
        <f t="shared" si="23"/>
        <v>29</v>
      </c>
      <c r="AO36">
        <f t="shared" si="23"/>
        <v>30</v>
      </c>
      <c r="AP36">
        <f t="shared" si="23"/>
        <v>31</v>
      </c>
      <c r="AQ36">
        <f t="shared" si="23"/>
        <v>32</v>
      </c>
      <c r="AR36">
        <f t="shared" si="23"/>
        <v>33</v>
      </c>
      <c r="AS36">
        <f t="shared" si="23"/>
        <v>34</v>
      </c>
      <c r="AT36">
        <f t="shared" si="23"/>
        <v>35</v>
      </c>
      <c r="AU36">
        <f t="shared" si="23"/>
        <v>36</v>
      </c>
      <c r="AV36">
        <f t="shared" si="23"/>
        <v>37</v>
      </c>
      <c r="AW36">
        <f t="shared" si="23"/>
        <v>38</v>
      </c>
      <c r="AX36">
        <f t="shared" si="23"/>
        <v>39</v>
      </c>
      <c r="AY36">
        <f t="shared" si="23"/>
        <v>40</v>
      </c>
      <c r="AZ36">
        <f t="shared" si="23"/>
        <v>41</v>
      </c>
      <c r="BA36">
        <f t="shared" si="23"/>
        <v>42</v>
      </c>
      <c r="BB36">
        <f t="shared" si="23"/>
        <v>43</v>
      </c>
      <c r="BC36">
        <f t="shared" si="23"/>
        <v>44</v>
      </c>
      <c r="BD36">
        <f t="shared" si="23"/>
        <v>45</v>
      </c>
      <c r="BE36">
        <f t="shared" si="23"/>
        <v>46</v>
      </c>
      <c r="BF36">
        <f t="shared" si="23"/>
        <v>47</v>
      </c>
      <c r="BG36">
        <f t="shared" si="23"/>
        <v>48</v>
      </c>
      <c r="BH36">
        <f t="shared" si="23"/>
        <v>49</v>
      </c>
      <c r="BI36">
        <f t="shared" si="23"/>
        <v>50</v>
      </c>
      <c r="BJ36">
        <f t="shared" si="23"/>
        <v>51</v>
      </c>
      <c r="BK36">
        <f t="shared" si="23"/>
        <v>52</v>
      </c>
      <c r="BL36">
        <f t="shared" si="23"/>
        <v>53</v>
      </c>
      <c r="BM36">
        <f t="shared" si="23"/>
        <v>54</v>
      </c>
      <c r="BN36">
        <f t="shared" si="23"/>
        <v>55</v>
      </c>
      <c r="BO36">
        <f t="shared" si="23"/>
        <v>56</v>
      </c>
      <c r="BP36">
        <f t="shared" si="23"/>
        <v>57</v>
      </c>
      <c r="BQ36">
        <f t="shared" si="23"/>
        <v>58</v>
      </c>
      <c r="BR36">
        <f t="shared" si="23"/>
        <v>59</v>
      </c>
      <c r="BS36">
        <f t="shared" si="23"/>
        <v>60</v>
      </c>
      <c r="BT36">
        <f t="shared" si="23"/>
        <v>61</v>
      </c>
      <c r="BU36">
        <f t="shared" si="23"/>
        <v>62</v>
      </c>
      <c r="BV36">
        <f t="shared" si="23"/>
        <v>63</v>
      </c>
      <c r="BW36">
        <f t="shared" si="23"/>
        <v>64</v>
      </c>
      <c r="BX36">
        <f t="shared" si="23"/>
        <v>65</v>
      </c>
      <c r="BY36">
        <f t="shared" si="23"/>
        <v>66</v>
      </c>
      <c r="BZ36">
        <f t="shared" si="23"/>
        <v>67</v>
      </c>
      <c r="CA36">
        <f t="shared" si="23"/>
        <v>68</v>
      </c>
      <c r="CB36">
        <f t="shared" si="23"/>
        <v>69</v>
      </c>
      <c r="CC36">
        <f t="shared" si="23"/>
        <v>70</v>
      </c>
      <c r="CD36">
        <f t="shared" si="23"/>
        <v>71</v>
      </c>
      <c r="CE36">
        <f t="shared" si="23"/>
        <v>72</v>
      </c>
      <c r="CF36">
        <f t="shared" si="23"/>
        <v>73</v>
      </c>
      <c r="CG36">
        <f t="shared" si="23"/>
        <v>74</v>
      </c>
      <c r="CH36">
        <f t="shared" si="23"/>
        <v>75</v>
      </c>
      <c r="CI36">
        <f t="shared" si="23"/>
        <v>76</v>
      </c>
      <c r="CJ36">
        <f t="shared" si="23"/>
        <v>77</v>
      </c>
      <c r="CK36">
        <f t="shared" si="23"/>
        <v>78</v>
      </c>
      <c r="CL36">
        <f t="shared" si="23"/>
        <v>79</v>
      </c>
      <c r="CM36">
        <f t="shared" si="23"/>
        <v>80</v>
      </c>
      <c r="CN36">
        <f t="shared" si="23"/>
        <v>81</v>
      </c>
      <c r="CO36">
        <f t="shared" si="23"/>
        <v>82</v>
      </c>
      <c r="CP36">
        <f t="shared" si="23"/>
        <v>83</v>
      </c>
      <c r="CQ36">
        <f t="shared" si="23"/>
        <v>84</v>
      </c>
      <c r="CR36">
        <f t="shared" si="23"/>
        <v>85</v>
      </c>
      <c r="CS36">
        <f t="shared" si="23"/>
        <v>86</v>
      </c>
      <c r="CT36">
        <f t="shared" si="23"/>
        <v>87</v>
      </c>
      <c r="CU36">
        <f t="shared" si="23"/>
        <v>88</v>
      </c>
      <c r="CV36">
        <f t="shared" si="23"/>
        <v>89</v>
      </c>
      <c r="CW36">
        <f t="shared" si="23"/>
        <v>90</v>
      </c>
      <c r="CX36">
        <f t="shared" si="23"/>
        <v>91</v>
      </c>
      <c r="CY36">
        <f t="shared" ref="CY36:DG36" si="24">+CX36+1</f>
        <v>92</v>
      </c>
      <c r="CZ36">
        <f t="shared" si="24"/>
        <v>93</v>
      </c>
      <c r="DA36">
        <f t="shared" si="24"/>
        <v>94</v>
      </c>
      <c r="DB36">
        <f t="shared" si="24"/>
        <v>95</v>
      </c>
      <c r="DC36">
        <f t="shared" si="24"/>
        <v>96</v>
      </c>
      <c r="DD36">
        <f t="shared" si="24"/>
        <v>97</v>
      </c>
      <c r="DE36">
        <f t="shared" si="24"/>
        <v>98</v>
      </c>
      <c r="DF36">
        <f t="shared" si="24"/>
        <v>99</v>
      </c>
      <c r="DG36">
        <f t="shared" si="24"/>
        <v>100</v>
      </c>
    </row>
    <row r="37" spans="1:111">
      <c r="A37" s="2">
        <v>45978</v>
      </c>
      <c r="B37">
        <v>266.73394775390619</v>
      </c>
      <c r="C37">
        <f t="shared" si="0"/>
        <v>-7.964192070665654E-3</v>
      </c>
      <c r="J37">
        <v>1</v>
      </c>
      <c r="K37">
        <v>0</v>
      </c>
      <c r="L37">
        <f ca="1">$G$5*$G$11*NORMSINV(RAND())</f>
        <v>1.0362736855264116E-2</v>
      </c>
      <c r="M37">
        <f t="shared" ref="M37:BX38" ca="1" si="25">$G$5*$G$11*NORMSINV(RAND())</f>
        <v>8.1777587593831486E-3</v>
      </c>
      <c r="N37">
        <f t="shared" ca="1" si="25"/>
        <v>-3.5895496774278218E-3</v>
      </c>
      <c r="O37">
        <f t="shared" ca="1" si="25"/>
        <v>-1.1816414790740101E-2</v>
      </c>
      <c r="P37">
        <f t="shared" ca="1" si="25"/>
        <v>-3.0951257470390489E-3</v>
      </c>
      <c r="Q37">
        <f t="shared" ca="1" si="25"/>
        <v>-5.0314572568316797E-3</v>
      </c>
      <c r="R37">
        <f t="shared" ca="1" si="25"/>
        <v>-7.2837026449775978E-3</v>
      </c>
      <c r="S37">
        <f t="shared" ca="1" si="25"/>
        <v>-1.2816115138129006E-3</v>
      </c>
      <c r="T37">
        <f t="shared" ca="1" si="25"/>
        <v>-6.2812580987070619E-4</v>
      </c>
      <c r="U37">
        <f t="shared" ca="1" si="25"/>
        <v>-1.7017840436454813E-2</v>
      </c>
      <c r="V37">
        <f t="shared" ca="1" si="25"/>
        <v>6.3923750484196236E-4</v>
      </c>
      <c r="W37">
        <f t="shared" ca="1" si="25"/>
        <v>4.4397004807586226E-3</v>
      </c>
      <c r="X37">
        <f t="shared" ca="1" si="25"/>
        <v>-8.3221193628037465E-3</v>
      </c>
      <c r="Y37">
        <f t="shared" ca="1" si="25"/>
        <v>1.5729374750043947E-3</v>
      </c>
      <c r="Z37">
        <f t="shared" ca="1" si="25"/>
        <v>-4.2330390266202651E-3</v>
      </c>
      <c r="AA37">
        <f t="shared" ca="1" si="25"/>
        <v>5.02158076859637E-3</v>
      </c>
      <c r="AB37">
        <f t="shared" ca="1" si="25"/>
        <v>-3.3039030080146269E-4</v>
      </c>
      <c r="AC37">
        <f t="shared" ca="1" si="25"/>
        <v>3.2149570486412157E-3</v>
      </c>
      <c r="AD37">
        <f t="shared" ca="1" si="25"/>
        <v>-2.8469691484045624E-4</v>
      </c>
      <c r="AE37">
        <f t="shared" ca="1" si="25"/>
        <v>2.6340071219445082E-3</v>
      </c>
      <c r="AF37">
        <f t="shared" ca="1" si="25"/>
        <v>3.2005471109729515E-3</v>
      </c>
      <c r="AG37">
        <f t="shared" ca="1" si="25"/>
        <v>-1.5340502856456446E-3</v>
      </c>
      <c r="AH37">
        <f t="shared" ca="1" si="25"/>
        <v>-1.078358421214757E-3</v>
      </c>
      <c r="AI37">
        <f t="shared" ca="1" si="25"/>
        <v>7.8426048956563039E-4</v>
      </c>
      <c r="AJ37">
        <f t="shared" ca="1" si="25"/>
        <v>-6.6484941528809601E-3</v>
      </c>
      <c r="AK37">
        <f t="shared" ca="1" si="25"/>
        <v>-3.1765034702112994E-3</v>
      </c>
      <c r="AL37">
        <f t="shared" ca="1" si="25"/>
        <v>7.297000766387186E-3</v>
      </c>
      <c r="AM37">
        <f t="shared" ca="1" si="25"/>
        <v>2.9591216103839785E-3</v>
      </c>
      <c r="AN37">
        <f t="shared" ca="1" si="25"/>
        <v>-1.0732846768791544E-3</v>
      </c>
      <c r="AO37">
        <f t="shared" ca="1" si="25"/>
        <v>8.8981404929030818E-3</v>
      </c>
      <c r="AP37">
        <f t="shared" ca="1" si="25"/>
        <v>2.1423479740886047E-3</v>
      </c>
      <c r="AQ37">
        <f t="shared" ca="1" si="25"/>
        <v>-3.6365797430690255E-4</v>
      </c>
      <c r="AR37">
        <f t="shared" ca="1" si="25"/>
        <v>-2.5595759056333402E-3</v>
      </c>
      <c r="AS37">
        <f t="shared" ca="1" si="25"/>
        <v>4.3693231790666671E-4</v>
      </c>
      <c r="AT37">
        <f t="shared" ca="1" si="25"/>
        <v>-1.9866150825912942E-3</v>
      </c>
      <c r="AU37">
        <f t="shared" ca="1" si="25"/>
        <v>-3.7505584477007755E-3</v>
      </c>
      <c r="AV37">
        <f t="shared" ca="1" si="25"/>
        <v>6.0845596954273648E-3</v>
      </c>
      <c r="AW37">
        <f t="shared" ca="1" si="25"/>
        <v>1.2743789560133787E-2</v>
      </c>
      <c r="AX37">
        <f t="shared" ca="1" si="25"/>
        <v>-3.3354594329640334E-3</v>
      </c>
      <c r="AY37">
        <f t="shared" ca="1" si="25"/>
        <v>-1.5755846014865408E-3</v>
      </c>
      <c r="AZ37">
        <f t="shared" ca="1" si="25"/>
        <v>5.737713393332791E-3</v>
      </c>
      <c r="BA37">
        <f t="shared" ca="1" si="25"/>
        <v>9.2820334793138476E-3</v>
      </c>
      <c r="BB37">
        <f t="shared" ca="1" si="25"/>
        <v>-5.5739091108559756E-3</v>
      </c>
      <c r="BC37">
        <f t="shared" ca="1" si="25"/>
        <v>3.9232989932801053E-3</v>
      </c>
      <c r="BD37">
        <f t="shared" ca="1" si="25"/>
        <v>2.0485708080789839E-3</v>
      </c>
      <c r="BE37">
        <f t="shared" ca="1" si="25"/>
        <v>-1.8766919360705431E-3</v>
      </c>
      <c r="BF37">
        <f t="shared" ca="1" si="25"/>
        <v>9.8854062045068171E-3</v>
      </c>
      <c r="BG37">
        <f t="shared" ca="1" si="25"/>
        <v>-8.4447001307520254E-4</v>
      </c>
      <c r="BH37">
        <f t="shared" ca="1" si="25"/>
        <v>-1.088590216160539E-2</v>
      </c>
      <c r="BI37">
        <f t="shared" ca="1" si="25"/>
        <v>-4.5729688477757439E-3</v>
      </c>
      <c r="BJ37">
        <f t="shared" ca="1" si="25"/>
        <v>-1.2006386109573767E-3</v>
      </c>
      <c r="BK37">
        <f t="shared" ca="1" si="25"/>
        <v>-4.0313563540912613E-3</v>
      </c>
      <c r="BL37">
        <f t="shared" ca="1" si="25"/>
        <v>-2.4313984637396855E-3</v>
      </c>
      <c r="BM37">
        <f t="shared" ca="1" si="25"/>
        <v>6.0832991032428712E-3</v>
      </c>
      <c r="BN37">
        <f t="shared" ca="1" si="25"/>
        <v>-4.0684712276466622E-4</v>
      </c>
      <c r="BO37">
        <f t="shared" ca="1" si="25"/>
        <v>9.7040700279349846E-3</v>
      </c>
      <c r="BP37">
        <f t="shared" ca="1" si="25"/>
        <v>-2.9714316054263224E-3</v>
      </c>
      <c r="BQ37">
        <f t="shared" ca="1" si="25"/>
        <v>1.0397571607334266E-2</v>
      </c>
      <c r="BR37">
        <f t="shared" ca="1" si="25"/>
        <v>9.3285438420287539E-3</v>
      </c>
      <c r="BS37">
        <f t="shared" ca="1" si="25"/>
        <v>-2.6267421008197927E-3</v>
      </c>
      <c r="BT37">
        <f t="shared" ca="1" si="25"/>
        <v>1.6711960325245237E-3</v>
      </c>
      <c r="BU37">
        <f t="shared" ca="1" si="25"/>
        <v>5.0505659235936737E-3</v>
      </c>
      <c r="BV37">
        <f t="shared" ca="1" si="25"/>
        <v>-2.0388536652878758E-3</v>
      </c>
      <c r="BW37">
        <f t="shared" ca="1" si="25"/>
        <v>-7.5947928477365797E-4</v>
      </c>
      <c r="BX37">
        <f t="shared" ca="1" si="25"/>
        <v>-3.0996887167955138E-3</v>
      </c>
      <c r="BY37">
        <f t="shared" ref="BY37:DG41" ca="1" si="26">$G$5*$G$11*NORMSINV(RAND())</f>
        <v>2.3378145873134523E-3</v>
      </c>
      <c r="BZ37">
        <f t="shared" ca="1" si="26"/>
        <v>-5.7312347333329898E-3</v>
      </c>
      <c r="CA37">
        <f t="shared" ca="1" si="26"/>
        <v>-1.0982938049045135E-2</v>
      </c>
      <c r="CB37">
        <f t="shared" ca="1" si="26"/>
        <v>-4.5736133744214303E-3</v>
      </c>
      <c r="CC37">
        <f t="shared" ca="1" si="26"/>
        <v>7.7432074983717326E-4</v>
      </c>
      <c r="CD37">
        <f t="shared" ca="1" si="26"/>
        <v>-7.9277451472474E-3</v>
      </c>
      <c r="CE37">
        <f t="shared" ca="1" si="26"/>
        <v>6.2596376411560729E-3</v>
      </c>
      <c r="CF37">
        <f t="shared" ca="1" si="26"/>
        <v>-3.5273672854754679E-3</v>
      </c>
      <c r="CG37">
        <f t="shared" ca="1" si="26"/>
        <v>9.426763756491454E-3</v>
      </c>
      <c r="CH37">
        <f t="shared" ca="1" si="26"/>
        <v>8.4883704490701338E-3</v>
      </c>
      <c r="CI37">
        <f t="shared" ca="1" si="26"/>
        <v>-9.6099311251713433E-4</v>
      </c>
      <c r="CJ37">
        <f t="shared" ca="1" si="26"/>
        <v>-2.0787597593238151E-3</v>
      </c>
      <c r="CK37">
        <f t="shared" ca="1" si="26"/>
        <v>-4.6621845290143417E-3</v>
      </c>
      <c r="CL37">
        <f t="shared" ca="1" si="26"/>
        <v>8.8801572853663795E-3</v>
      </c>
      <c r="CM37">
        <f t="shared" ca="1" si="26"/>
        <v>-6.5666793486986357E-3</v>
      </c>
      <c r="CN37">
        <f t="shared" ca="1" si="26"/>
        <v>1.1186155464160042E-2</v>
      </c>
      <c r="CO37">
        <f t="shared" ca="1" si="26"/>
        <v>2.3103098514940523E-3</v>
      </c>
      <c r="CP37">
        <f t="shared" ca="1" si="26"/>
        <v>4.5634035286980061E-4</v>
      </c>
      <c r="CQ37">
        <f t="shared" ca="1" si="26"/>
        <v>-9.2488399455951525E-3</v>
      </c>
      <c r="CR37">
        <f t="shared" ca="1" si="26"/>
        <v>1.2534175568966461E-2</v>
      </c>
      <c r="CS37">
        <f t="shared" ca="1" si="26"/>
        <v>3.2635384526896179E-3</v>
      </c>
      <c r="CT37">
        <f t="shared" ca="1" si="26"/>
        <v>-6.4259431699108518E-3</v>
      </c>
      <c r="CU37">
        <f t="shared" ca="1" si="26"/>
        <v>6.1157921812940799E-4</v>
      </c>
      <c r="CV37">
        <f t="shared" ca="1" si="26"/>
        <v>-5.0995941118275332E-3</v>
      </c>
      <c r="CW37">
        <f t="shared" ca="1" si="26"/>
        <v>9.1149382561305226E-3</v>
      </c>
      <c r="CX37">
        <f t="shared" ca="1" si="26"/>
        <v>-1.3680317345854461E-2</v>
      </c>
      <c r="CY37">
        <f t="shared" ca="1" si="26"/>
        <v>8.4457749263712485E-3</v>
      </c>
      <c r="CZ37">
        <f t="shared" ca="1" si="26"/>
        <v>4.6160979684900299E-3</v>
      </c>
      <c r="DA37">
        <f t="shared" ca="1" si="26"/>
        <v>-4.3486612838313276E-3</v>
      </c>
      <c r="DB37">
        <f t="shared" ca="1" si="26"/>
        <v>3.77281581059417E-3</v>
      </c>
      <c r="DC37">
        <f t="shared" ca="1" si="26"/>
        <v>-3.9932670211539466E-3</v>
      </c>
      <c r="DD37">
        <f t="shared" ca="1" si="26"/>
        <v>1.2654592182994234E-2</v>
      </c>
      <c r="DE37">
        <f t="shared" ca="1" si="26"/>
        <v>-7.3715081772459173E-3</v>
      </c>
      <c r="DF37">
        <f t="shared" ca="1" si="26"/>
        <v>1.2765913334754418E-3</v>
      </c>
      <c r="DG37">
        <f t="shared" ca="1" si="26"/>
        <v>-6.8080640602186451E-3</v>
      </c>
    </row>
    <row r="38" spans="1:111">
      <c r="A38" s="2">
        <v>45979</v>
      </c>
      <c r="B38">
        <v>266.71405029296881</v>
      </c>
      <c r="C38">
        <f t="shared" si="0"/>
        <v>-3.2398125120476179E-5</v>
      </c>
      <c r="J38">
        <v>2</v>
      </c>
      <c r="K38">
        <f>+K37</f>
        <v>0</v>
      </c>
      <c r="L38">
        <f t="shared" ref="L38:AA46" ca="1" si="27">$G$5*$G$11*NORMSINV(RAND())</f>
        <v>-6.8958987364513367E-3</v>
      </c>
      <c r="M38">
        <f t="shared" ca="1" si="27"/>
        <v>-4.5866790529039917E-3</v>
      </c>
      <c r="N38">
        <f t="shared" ca="1" si="27"/>
        <v>1.1585621973767505E-3</v>
      </c>
      <c r="O38">
        <f t="shared" ca="1" si="27"/>
        <v>-9.8557977889254939E-3</v>
      </c>
      <c r="P38">
        <f t="shared" ca="1" si="27"/>
        <v>3.4082547637063762E-3</v>
      </c>
      <c r="Q38">
        <f t="shared" ca="1" si="27"/>
        <v>-1.3768584241690794E-2</v>
      </c>
      <c r="R38">
        <f t="shared" ca="1" si="27"/>
        <v>-1.0782242561869035E-3</v>
      </c>
      <c r="S38">
        <f t="shared" ca="1" si="27"/>
        <v>-6.14441753469814E-3</v>
      </c>
      <c r="T38">
        <f t="shared" ca="1" si="27"/>
        <v>4.3182578528107368E-3</v>
      </c>
      <c r="U38">
        <f t="shared" ca="1" si="27"/>
        <v>-1.717867955708963E-3</v>
      </c>
      <c r="V38">
        <f t="shared" ca="1" si="27"/>
        <v>3.9011254930583121E-3</v>
      </c>
      <c r="W38">
        <f t="shared" ca="1" si="27"/>
        <v>-6.2477522552305742E-4</v>
      </c>
      <c r="X38">
        <f t="shared" ca="1" si="27"/>
        <v>-1.4540084136194759E-2</v>
      </c>
      <c r="Y38">
        <f t="shared" ca="1" si="27"/>
        <v>1.5116798967882146E-3</v>
      </c>
      <c r="Z38">
        <f t="shared" ca="1" si="27"/>
        <v>5.2599574605438435E-3</v>
      </c>
      <c r="AA38">
        <f t="shared" ca="1" si="27"/>
        <v>-1.1578106817067127E-2</v>
      </c>
      <c r="AB38">
        <f t="shared" ca="1" si="25"/>
        <v>-3.7200754907577085E-3</v>
      </c>
      <c r="AC38">
        <f t="shared" ca="1" si="25"/>
        <v>1.7737506405935007E-3</v>
      </c>
      <c r="AD38">
        <f t="shared" ca="1" si="25"/>
        <v>1.0573169455471692E-3</v>
      </c>
      <c r="AE38">
        <f t="shared" ca="1" si="25"/>
        <v>-3.3681392727428769E-3</v>
      </c>
      <c r="AF38">
        <f t="shared" ca="1" si="25"/>
        <v>-3.9988877086695511E-4</v>
      </c>
      <c r="AG38">
        <f t="shared" ca="1" si="25"/>
        <v>1.9338737126510361E-3</v>
      </c>
      <c r="AH38">
        <f t="shared" ca="1" si="25"/>
        <v>1.0991211932822877E-2</v>
      </c>
      <c r="AI38">
        <f t="shared" ca="1" si="25"/>
        <v>-5.225376500878065E-3</v>
      </c>
      <c r="AJ38">
        <f t="shared" ca="1" si="25"/>
        <v>-3.793621324298314E-3</v>
      </c>
      <c r="AK38">
        <f t="shared" ca="1" si="25"/>
        <v>1.2602008551438129E-2</v>
      </c>
      <c r="AL38">
        <f t="shared" ca="1" si="25"/>
        <v>4.932609295724929E-3</v>
      </c>
      <c r="AM38">
        <f t="shared" ca="1" si="25"/>
        <v>-2.2715835614980371E-3</v>
      </c>
      <c r="AN38">
        <f t="shared" ca="1" si="25"/>
        <v>1.1571563665491909E-3</v>
      </c>
      <c r="AO38">
        <f t="shared" ca="1" si="25"/>
        <v>1.2941635546514793E-2</v>
      </c>
      <c r="AP38">
        <f t="shared" ca="1" si="25"/>
        <v>5.6891090453434975E-3</v>
      </c>
      <c r="AQ38">
        <f t="shared" ca="1" si="25"/>
        <v>1.0585924018015671E-2</v>
      </c>
      <c r="AR38">
        <f t="shared" ca="1" si="25"/>
        <v>4.8186756010680535E-3</v>
      </c>
      <c r="AS38">
        <f t="shared" ca="1" si="25"/>
        <v>4.570923063186144E-3</v>
      </c>
      <c r="AT38">
        <f t="shared" ca="1" si="25"/>
        <v>-5.2199198803992673E-3</v>
      </c>
      <c r="AU38">
        <f t="shared" ca="1" si="25"/>
        <v>2.7080788699455072E-3</v>
      </c>
      <c r="AV38">
        <f t="shared" ca="1" si="25"/>
        <v>1.8071644755417973E-2</v>
      </c>
      <c r="AW38">
        <f t="shared" ca="1" si="25"/>
        <v>1.6043530165187096E-3</v>
      </c>
      <c r="AX38">
        <f t="shared" ca="1" si="25"/>
        <v>1.1497282714628699E-2</v>
      </c>
      <c r="AY38">
        <f t="shared" ca="1" si="25"/>
        <v>6.1551325505379919E-4</v>
      </c>
      <c r="AZ38">
        <f t="shared" ca="1" si="25"/>
        <v>1.2688031914662031E-3</v>
      </c>
      <c r="BA38">
        <f t="shared" ca="1" si="25"/>
        <v>-1.3657782754548967E-2</v>
      </c>
      <c r="BB38">
        <f t="shared" ca="1" si="25"/>
        <v>6.3899047483327402E-4</v>
      </c>
      <c r="BC38">
        <f t="shared" ca="1" si="25"/>
        <v>1.7533997390506914E-2</v>
      </c>
      <c r="BD38">
        <f t="shared" ca="1" si="25"/>
        <v>-1.2604828802130182E-2</v>
      </c>
      <c r="BE38">
        <f t="shared" ca="1" si="25"/>
        <v>5.0341542232569536E-3</v>
      </c>
      <c r="BF38">
        <f t="shared" ca="1" si="25"/>
        <v>1.0615490885168555E-3</v>
      </c>
      <c r="BG38">
        <f t="shared" ca="1" si="25"/>
        <v>3.4054933146545467E-3</v>
      </c>
      <c r="BH38">
        <f t="shared" ca="1" si="25"/>
        <v>1.3603633398347355E-3</v>
      </c>
      <c r="BI38">
        <f t="shared" ca="1" si="25"/>
        <v>-1.0113502740822464E-2</v>
      </c>
      <c r="BJ38">
        <f t="shared" ca="1" si="25"/>
        <v>-5.6381215950220198E-3</v>
      </c>
      <c r="BK38">
        <f t="shared" ca="1" si="25"/>
        <v>-9.3963304103831542E-3</v>
      </c>
      <c r="BL38">
        <f t="shared" ca="1" si="25"/>
        <v>-1.783670368987569E-2</v>
      </c>
      <c r="BM38">
        <f t="shared" ca="1" si="25"/>
        <v>2.1710430730523559E-3</v>
      </c>
      <c r="BN38">
        <f t="shared" ca="1" si="25"/>
        <v>4.2689157140518097E-3</v>
      </c>
      <c r="BO38">
        <f t="shared" ca="1" si="25"/>
        <v>6.3994923904288634E-3</v>
      </c>
      <c r="BP38">
        <f t="shared" ca="1" si="25"/>
        <v>-2.8111604791018832E-3</v>
      </c>
      <c r="BQ38">
        <f t="shared" ca="1" si="25"/>
        <v>-2.0145664167662298E-3</v>
      </c>
      <c r="BR38">
        <f t="shared" ca="1" si="25"/>
        <v>9.0955302901719135E-3</v>
      </c>
      <c r="BS38">
        <f t="shared" ca="1" si="25"/>
        <v>-5.1563412097738832E-3</v>
      </c>
      <c r="BT38">
        <f t="shared" ca="1" si="25"/>
        <v>6.5686270816912437E-3</v>
      </c>
      <c r="BU38">
        <f t="shared" ca="1" si="25"/>
        <v>-7.8209429820682574E-3</v>
      </c>
      <c r="BV38">
        <f t="shared" ca="1" si="25"/>
        <v>9.266034689965146E-4</v>
      </c>
      <c r="BW38">
        <f t="shared" ca="1" si="25"/>
        <v>1.1798195635977718E-2</v>
      </c>
      <c r="BX38">
        <f t="shared" ca="1" si="25"/>
        <v>9.3427653258931175E-3</v>
      </c>
      <c r="BY38">
        <f t="shared" ca="1" si="26"/>
        <v>-3.6673801788183534E-3</v>
      </c>
      <c r="BZ38">
        <f t="shared" ca="1" si="26"/>
        <v>-2.7965843807352987E-3</v>
      </c>
      <c r="CA38">
        <f t="shared" ca="1" si="26"/>
        <v>2.333433544964552E-3</v>
      </c>
      <c r="CB38">
        <f t="shared" ca="1" si="26"/>
        <v>-6.7814158782132572E-3</v>
      </c>
      <c r="CC38">
        <f t="shared" ca="1" si="26"/>
        <v>3.2807426581783214E-3</v>
      </c>
      <c r="CD38">
        <f t="shared" ca="1" si="26"/>
        <v>-9.2750429704658189E-4</v>
      </c>
      <c r="CE38">
        <f t="shared" ca="1" si="26"/>
        <v>3.6180498106560557E-3</v>
      </c>
      <c r="CF38">
        <f t="shared" ca="1" si="26"/>
        <v>-1.4797794496282912E-2</v>
      </c>
      <c r="CG38">
        <f t="shared" ca="1" si="26"/>
        <v>1.642023239783663E-3</v>
      </c>
      <c r="CH38">
        <f t="shared" ca="1" si="26"/>
        <v>3.1565932214816447E-3</v>
      </c>
      <c r="CI38">
        <f t="shared" ca="1" si="26"/>
        <v>1.9017079985573747E-3</v>
      </c>
      <c r="CJ38">
        <f t="shared" ca="1" si="26"/>
        <v>-2.8733623765841653E-3</v>
      </c>
      <c r="CK38">
        <f t="shared" ca="1" si="26"/>
        <v>2.6746785693376727E-3</v>
      </c>
      <c r="CL38">
        <f t="shared" ca="1" si="26"/>
        <v>-2.1943359400136259E-3</v>
      </c>
      <c r="CM38">
        <f t="shared" ca="1" si="26"/>
        <v>1.3474338901605704E-2</v>
      </c>
      <c r="CN38">
        <f t="shared" ca="1" si="26"/>
        <v>7.6687435608072526E-3</v>
      </c>
      <c r="CO38">
        <f t="shared" ca="1" si="26"/>
        <v>-3.9640127247541892E-3</v>
      </c>
      <c r="CP38">
        <f t="shared" ca="1" si="26"/>
        <v>5.8152377523302797E-3</v>
      </c>
      <c r="CQ38">
        <f t="shared" ca="1" si="26"/>
        <v>-5.7117187432613702E-3</v>
      </c>
      <c r="CR38">
        <f t="shared" ca="1" si="26"/>
        <v>-1.2685992382674826E-2</v>
      </c>
      <c r="CS38">
        <f t="shared" ca="1" si="26"/>
        <v>-2.3037912564229583E-3</v>
      </c>
      <c r="CT38">
        <f t="shared" ca="1" si="26"/>
        <v>2.0307414030234696E-3</v>
      </c>
      <c r="CU38">
        <f t="shared" ca="1" si="26"/>
        <v>-1.1220965388111782E-2</v>
      </c>
      <c r="CV38">
        <f t="shared" ca="1" si="26"/>
        <v>-1.8656929845344691E-3</v>
      </c>
      <c r="CW38">
        <f t="shared" ca="1" si="26"/>
        <v>2.2012053345456186E-3</v>
      </c>
      <c r="CX38">
        <f t="shared" ca="1" si="26"/>
        <v>2.1493891084573506E-3</v>
      </c>
      <c r="CY38">
        <f t="shared" ca="1" si="26"/>
        <v>4.0043651317307897E-3</v>
      </c>
      <c r="CZ38">
        <f t="shared" ca="1" si="26"/>
        <v>6.9393490916608578E-3</v>
      </c>
      <c r="DA38">
        <f t="shared" ca="1" si="26"/>
        <v>-6.1395889328577863E-3</v>
      </c>
      <c r="DB38">
        <f t="shared" ca="1" si="26"/>
        <v>2.1407731040215955E-3</v>
      </c>
      <c r="DC38">
        <f t="shared" ca="1" si="26"/>
        <v>6.8073617906743147E-3</v>
      </c>
      <c r="DD38">
        <f t="shared" ca="1" si="26"/>
        <v>-8.5892569546603473E-3</v>
      </c>
      <c r="DE38">
        <f t="shared" ca="1" si="26"/>
        <v>-3.149284800978053E-3</v>
      </c>
      <c r="DF38">
        <f t="shared" ca="1" si="26"/>
        <v>8.810207593068678E-3</v>
      </c>
      <c r="DG38">
        <f t="shared" ca="1" si="26"/>
        <v>-1.3886764684646462E-2</v>
      </c>
    </row>
    <row r="39" spans="1:111">
      <c r="A39" s="2">
        <v>45980</v>
      </c>
      <c r="B39">
        <v>267.83096313476563</v>
      </c>
      <c r="C39">
        <f t="shared" si="0"/>
        <v>1.8148884666064154E-3</v>
      </c>
      <c r="J39">
        <v>3</v>
      </c>
      <c r="K39">
        <f t="shared" ref="K39:K46" si="28">+K38</f>
        <v>0</v>
      </c>
      <c r="L39">
        <f t="shared" ca="1" si="27"/>
        <v>2.0044588541008991E-3</v>
      </c>
      <c r="M39">
        <f t="shared" ref="M39:BX42" ca="1" si="29">$G$5*$G$11*NORMSINV(RAND())</f>
        <v>-4.6358141663769307E-3</v>
      </c>
      <c r="N39">
        <f t="shared" ca="1" si="29"/>
        <v>-1.0766087157953226E-2</v>
      </c>
      <c r="O39">
        <f t="shared" ca="1" si="29"/>
        <v>-5.1162487156273151E-4</v>
      </c>
      <c r="P39">
        <f t="shared" ca="1" si="29"/>
        <v>1.4111917338104519E-4</v>
      </c>
      <c r="Q39">
        <f t="shared" ca="1" si="29"/>
        <v>-1.4384742127821251E-2</v>
      </c>
      <c r="R39">
        <f t="shared" ca="1" si="29"/>
        <v>2.6494342032650962E-3</v>
      </c>
      <c r="S39">
        <f t="shared" ca="1" si="29"/>
        <v>1.0027276200252486E-2</v>
      </c>
      <c r="T39">
        <f t="shared" ca="1" si="29"/>
        <v>7.1844797274783583E-4</v>
      </c>
      <c r="U39">
        <f t="shared" ca="1" si="29"/>
        <v>4.2574948529553536E-3</v>
      </c>
      <c r="V39">
        <f t="shared" ca="1" si="29"/>
        <v>-8.6737282744384653E-3</v>
      </c>
      <c r="W39">
        <f t="shared" ca="1" si="29"/>
        <v>-8.7256797453885634E-3</v>
      </c>
      <c r="X39">
        <f t="shared" ca="1" si="29"/>
        <v>-5.3107193503093668E-3</v>
      </c>
      <c r="Y39">
        <f t="shared" ca="1" si="29"/>
        <v>2.7633967439759126E-3</v>
      </c>
      <c r="Z39">
        <f t="shared" ca="1" si="29"/>
        <v>-5.823501303284421E-3</v>
      </c>
      <c r="AA39">
        <f t="shared" ca="1" si="29"/>
        <v>5.4414123381236841E-3</v>
      </c>
      <c r="AB39">
        <f t="shared" ca="1" si="29"/>
        <v>-9.5176329343798377E-4</v>
      </c>
      <c r="AC39">
        <f t="shared" ca="1" si="29"/>
        <v>1.0651251626409019E-3</v>
      </c>
      <c r="AD39">
        <f t="shared" ca="1" si="29"/>
        <v>-5.2136314052598923E-3</v>
      </c>
      <c r="AE39">
        <f t="shared" ca="1" si="29"/>
        <v>-8.9281371557630535E-4</v>
      </c>
      <c r="AF39">
        <f t="shared" ca="1" si="29"/>
        <v>-6.5647058866336793E-3</v>
      </c>
      <c r="AG39">
        <f t="shared" ca="1" si="29"/>
        <v>6.4201604563455736E-3</v>
      </c>
      <c r="AH39">
        <f t="shared" ca="1" si="29"/>
        <v>-6.4482893361340029E-3</v>
      </c>
      <c r="AI39">
        <f t="shared" ca="1" si="29"/>
        <v>3.0665004785317882E-3</v>
      </c>
      <c r="AJ39">
        <f t="shared" ca="1" si="29"/>
        <v>-2.7267142925432629E-3</v>
      </c>
      <c r="AK39">
        <f t="shared" ca="1" si="29"/>
        <v>1.2404466536719479E-2</v>
      </c>
      <c r="AL39">
        <f t="shared" ca="1" si="29"/>
        <v>-3.1987828790908082E-3</v>
      </c>
      <c r="AM39">
        <f t="shared" ca="1" si="29"/>
        <v>-8.0658242848204078E-3</v>
      </c>
      <c r="AN39">
        <f t="shared" ca="1" si="29"/>
        <v>9.5637169676875845E-3</v>
      </c>
      <c r="AO39">
        <f t="shared" ca="1" si="29"/>
        <v>-4.5473714463429892E-3</v>
      </c>
      <c r="AP39">
        <f t="shared" ca="1" si="29"/>
        <v>-1.0057881809397205E-2</v>
      </c>
      <c r="AQ39">
        <f t="shared" ca="1" si="29"/>
        <v>-1.9035843119403356E-3</v>
      </c>
      <c r="AR39">
        <f t="shared" ca="1" si="29"/>
        <v>2.0271348824584018E-3</v>
      </c>
      <c r="AS39">
        <f t="shared" ca="1" si="29"/>
        <v>7.7376708988085012E-4</v>
      </c>
      <c r="AT39">
        <f t="shared" ca="1" si="29"/>
        <v>5.030865866603746E-3</v>
      </c>
      <c r="AU39">
        <f t="shared" ca="1" si="29"/>
        <v>6.1472696609890971E-3</v>
      </c>
      <c r="AV39">
        <f t="shared" ca="1" si="29"/>
        <v>4.1358791219007467E-3</v>
      </c>
      <c r="AW39">
        <f t="shared" ca="1" si="29"/>
        <v>1.1609198056905622E-2</v>
      </c>
      <c r="AX39">
        <f t="shared" ca="1" si="29"/>
        <v>-1.8053932019852701E-2</v>
      </c>
      <c r="AY39">
        <f t="shared" ca="1" si="29"/>
        <v>-1.4351616216833805E-3</v>
      </c>
      <c r="AZ39">
        <f t="shared" ca="1" si="29"/>
        <v>8.8142532787560436E-3</v>
      </c>
      <c r="BA39">
        <f t="shared" ca="1" si="29"/>
        <v>-5.0600409456955575E-3</v>
      </c>
      <c r="BB39">
        <f t="shared" ca="1" si="29"/>
        <v>-1.250687018136252E-2</v>
      </c>
      <c r="BC39">
        <f t="shared" ca="1" si="29"/>
        <v>2.2036244479458754E-4</v>
      </c>
      <c r="BD39">
        <f t="shared" ca="1" si="29"/>
        <v>2.2187356415707218E-3</v>
      </c>
      <c r="BE39">
        <f t="shared" ca="1" si="29"/>
        <v>5.2538279799148923E-3</v>
      </c>
      <c r="BF39">
        <f t="shared" ca="1" si="29"/>
        <v>-4.8278856742179719E-3</v>
      </c>
      <c r="BG39">
        <f t="shared" ca="1" si="29"/>
        <v>-1.2657879271789641E-2</v>
      </c>
      <c r="BH39">
        <f t="shared" ca="1" si="29"/>
        <v>1.0721086538768682E-2</v>
      </c>
      <c r="BI39">
        <f t="shared" ca="1" si="29"/>
        <v>-8.8984067882815852E-3</v>
      </c>
      <c r="BJ39">
        <f t="shared" ca="1" si="29"/>
        <v>1.9321996181812465E-2</v>
      </c>
      <c r="BK39">
        <f t="shared" ca="1" si="29"/>
        <v>3.0014421378618673E-3</v>
      </c>
      <c r="BL39">
        <f t="shared" ca="1" si="29"/>
        <v>1.0526953581674297E-3</v>
      </c>
      <c r="BM39">
        <f t="shared" ca="1" si="29"/>
        <v>-1.8073644072023134E-3</v>
      </c>
      <c r="BN39">
        <f t="shared" ca="1" si="29"/>
        <v>3.7379263180540938E-4</v>
      </c>
      <c r="BO39">
        <f t="shared" ca="1" si="29"/>
        <v>-9.218799472745018E-4</v>
      </c>
      <c r="BP39">
        <f t="shared" ca="1" si="29"/>
        <v>1.5942135636115037E-3</v>
      </c>
      <c r="BQ39">
        <f t="shared" ca="1" si="29"/>
        <v>9.2006370940896243E-3</v>
      </c>
      <c r="BR39">
        <f t="shared" ca="1" si="29"/>
        <v>-4.1228902095918471E-3</v>
      </c>
      <c r="BS39">
        <f t="shared" ca="1" si="29"/>
        <v>9.1589787872720339E-3</v>
      </c>
      <c r="BT39">
        <f t="shared" ca="1" si="29"/>
        <v>9.6514607761793436E-3</v>
      </c>
      <c r="BU39">
        <f t="shared" ca="1" si="29"/>
        <v>-5.2424927391108208E-3</v>
      </c>
      <c r="BV39">
        <f t="shared" ca="1" si="29"/>
        <v>-1.0417528632857741E-2</v>
      </c>
      <c r="BW39">
        <f t="shared" ca="1" si="29"/>
        <v>-1.5639142224421792E-2</v>
      </c>
      <c r="BX39">
        <f t="shared" ca="1" si="29"/>
        <v>1.1530967423074207E-2</v>
      </c>
      <c r="BY39">
        <f t="shared" ca="1" si="26"/>
        <v>-8.672029781388507E-4</v>
      </c>
      <c r="BZ39">
        <f t="shared" ca="1" si="26"/>
        <v>7.3435099331620431E-3</v>
      </c>
      <c r="CA39">
        <f t="shared" ca="1" si="26"/>
        <v>6.8046853487904874E-3</v>
      </c>
      <c r="CB39">
        <f t="shared" ca="1" si="26"/>
        <v>-7.5245344360786327E-3</v>
      </c>
      <c r="CC39">
        <f t="shared" ca="1" si="26"/>
        <v>1.13439835263748E-3</v>
      </c>
      <c r="CD39">
        <f t="shared" ca="1" si="26"/>
        <v>1.4691673778580089E-3</v>
      </c>
      <c r="CE39">
        <f t="shared" ca="1" si="26"/>
        <v>4.8104120104236247E-3</v>
      </c>
      <c r="CF39">
        <f t="shared" ca="1" si="26"/>
        <v>-2.0487754187753292E-3</v>
      </c>
      <c r="CG39">
        <f t="shared" ca="1" si="26"/>
        <v>8.5177012490208013E-3</v>
      </c>
      <c r="CH39">
        <f t="shared" ca="1" si="26"/>
        <v>6.371250310676777E-3</v>
      </c>
      <c r="CI39">
        <f t="shared" ca="1" si="26"/>
        <v>6.4319039218596683E-4</v>
      </c>
      <c r="CJ39">
        <f t="shared" ca="1" si="26"/>
        <v>1.6095350726747619E-3</v>
      </c>
      <c r="CK39">
        <f t="shared" ca="1" si="26"/>
        <v>-5.305890840237415E-3</v>
      </c>
      <c r="CL39">
        <f t="shared" ca="1" si="26"/>
        <v>-5.3160891985477819E-3</v>
      </c>
      <c r="CM39">
        <f t="shared" ca="1" si="26"/>
        <v>8.6808741395153679E-3</v>
      </c>
      <c r="CN39">
        <f t="shared" ca="1" si="26"/>
        <v>2.667573548271302E-4</v>
      </c>
      <c r="CO39">
        <f t="shared" ca="1" si="26"/>
        <v>-4.1567117743013839E-3</v>
      </c>
      <c r="CP39">
        <f t="shared" ca="1" si="26"/>
        <v>1.0561992559268664E-2</v>
      </c>
      <c r="CQ39">
        <f t="shared" ca="1" si="26"/>
        <v>1.5833085130422624E-3</v>
      </c>
      <c r="CR39">
        <f t="shared" ca="1" si="26"/>
        <v>-9.8196296252934124E-5</v>
      </c>
      <c r="CS39">
        <f t="shared" ca="1" si="26"/>
        <v>8.0365345157235122E-3</v>
      </c>
      <c r="CT39">
        <f t="shared" ca="1" si="26"/>
        <v>9.7907084797261845E-3</v>
      </c>
      <c r="CU39">
        <f t="shared" ca="1" si="26"/>
        <v>1.0122636603023991E-2</v>
      </c>
      <c r="CV39">
        <f t="shared" ca="1" si="26"/>
        <v>1.2238918113606943E-3</v>
      </c>
      <c r="CW39">
        <f t="shared" ca="1" si="26"/>
        <v>-5.3151408046621731E-3</v>
      </c>
      <c r="CX39">
        <f t="shared" ca="1" si="26"/>
        <v>9.8864499315371637E-3</v>
      </c>
      <c r="CY39">
        <f t="shared" ca="1" si="26"/>
        <v>1.389114717193005E-2</v>
      </c>
      <c r="CZ39">
        <f t="shared" ca="1" si="26"/>
        <v>4.6114425434433132E-3</v>
      </c>
      <c r="DA39">
        <f t="shared" ca="1" si="26"/>
        <v>-5.2028222905807107E-3</v>
      </c>
      <c r="DB39">
        <f t="shared" ca="1" si="26"/>
        <v>5.0391970031937556E-3</v>
      </c>
      <c r="DC39">
        <f t="shared" ca="1" si="26"/>
        <v>5.3605959474133658E-3</v>
      </c>
      <c r="DD39">
        <f t="shared" ca="1" si="26"/>
        <v>-8.0965507895765908E-3</v>
      </c>
      <c r="DE39">
        <f t="shared" ca="1" si="26"/>
        <v>-1.1655710765709268E-2</v>
      </c>
      <c r="DF39">
        <f t="shared" ca="1" si="26"/>
        <v>4.5555665939678337E-3</v>
      </c>
      <c r="DG39">
        <f t="shared" ca="1" si="26"/>
        <v>1.036766021268954E-2</v>
      </c>
    </row>
    <row r="40" spans="1:111">
      <c r="A40" s="2">
        <v>45981</v>
      </c>
      <c r="B40">
        <v>265.52725219726563</v>
      </c>
      <c r="C40">
        <f t="shared" si="0"/>
        <v>-3.7516818568275869E-3</v>
      </c>
      <c r="J40">
        <v>4</v>
      </c>
      <c r="K40">
        <f t="shared" si="28"/>
        <v>0</v>
      </c>
      <c r="L40">
        <f t="shared" ca="1" si="27"/>
        <v>5.2017411364824687E-3</v>
      </c>
      <c r="M40">
        <f t="shared" ca="1" si="29"/>
        <v>-1.5999248818123341E-2</v>
      </c>
      <c r="N40">
        <f t="shared" ca="1" si="29"/>
        <v>-1.0137131083042586E-3</v>
      </c>
      <c r="O40">
        <f t="shared" ca="1" si="29"/>
        <v>3.9640237747700707E-3</v>
      </c>
      <c r="P40">
        <f t="shared" ca="1" si="29"/>
        <v>3.9115487594274904E-3</v>
      </c>
      <c r="Q40">
        <f t="shared" ca="1" si="29"/>
        <v>-7.6151349561862395E-3</v>
      </c>
      <c r="R40">
        <f t="shared" ca="1" si="29"/>
        <v>-6.4079448550453831E-3</v>
      </c>
      <c r="S40">
        <f t="shared" ca="1" si="29"/>
        <v>-1.0295413676881315E-2</v>
      </c>
      <c r="T40">
        <f t="shared" ca="1" si="29"/>
        <v>-1.5221212706128626E-2</v>
      </c>
      <c r="U40">
        <f t="shared" ca="1" si="29"/>
        <v>-5.1373075261634355E-3</v>
      </c>
      <c r="V40">
        <f t="shared" ca="1" si="29"/>
        <v>7.859274361432432E-3</v>
      </c>
      <c r="W40">
        <f t="shared" ca="1" si="29"/>
        <v>-2.8139982448735831E-3</v>
      </c>
      <c r="X40">
        <f t="shared" ca="1" si="29"/>
        <v>8.244976058887063E-3</v>
      </c>
      <c r="Y40">
        <f t="shared" ca="1" si="29"/>
        <v>-5.602677502459635E-3</v>
      </c>
      <c r="Z40">
        <f t="shared" ca="1" si="29"/>
        <v>-2.9664431903509178E-3</v>
      </c>
      <c r="AA40">
        <f t="shared" ca="1" si="29"/>
        <v>-2.7772059385866186E-3</v>
      </c>
      <c r="AB40">
        <f t="shared" ca="1" si="29"/>
        <v>-4.3401091138159775E-3</v>
      </c>
      <c r="AC40">
        <f t="shared" ca="1" si="29"/>
        <v>-1.5190033680303639E-3</v>
      </c>
      <c r="AD40">
        <f t="shared" ca="1" si="29"/>
        <v>-7.3632804760738577E-4</v>
      </c>
      <c r="AE40">
        <f t="shared" ca="1" si="29"/>
        <v>-5.976772194804701E-3</v>
      </c>
      <c r="AF40">
        <f t="shared" ca="1" si="29"/>
        <v>-7.55511110221444E-4</v>
      </c>
      <c r="AG40">
        <f t="shared" ca="1" si="29"/>
        <v>6.5716356882528368E-3</v>
      </c>
      <c r="AH40">
        <f t="shared" ca="1" si="29"/>
        <v>6.3230356751186158E-3</v>
      </c>
      <c r="AI40">
        <f t="shared" ca="1" si="29"/>
        <v>9.3958277774406958E-3</v>
      </c>
      <c r="AJ40">
        <f t="shared" ca="1" si="29"/>
        <v>-5.6054295555390083E-3</v>
      </c>
      <c r="AK40">
        <f t="shared" ca="1" si="29"/>
        <v>2.4690000836985761E-3</v>
      </c>
      <c r="AL40">
        <f t="shared" ca="1" si="29"/>
        <v>8.5253882930016681E-3</v>
      </c>
      <c r="AM40">
        <f t="shared" ca="1" si="29"/>
        <v>-2.5120274971497966E-3</v>
      </c>
      <c r="AN40">
        <f t="shared" ca="1" si="29"/>
        <v>-7.6311168488917384E-3</v>
      </c>
      <c r="AO40">
        <f t="shared" ca="1" si="29"/>
        <v>8.0402506924893275E-4</v>
      </c>
      <c r="AP40">
        <f t="shared" ca="1" si="29"/>
        <v>-2.9019609355035677E-3</v>
      </c>
      <c r="AQ40">
        <f t="shared" ca="1" si="29"/>
        <v>-2.3788745302033951E-3</v>
      </c>
      <c r="AR40">
        <f t="shared" ca="1" si="29"/>
        <v>5.5475303890170306E-3</v>
      </c>
      <c r="AS40">
        <f t="shared" ca="1" si="29"/>
        <v>-4.3263142841911484E-3</v>
      </c>
      <c r="AT40">
        <f t="shared" ca="1" si="29"/>
        <v>-5.9372889728592676E-6</v>
      </c>
      <c r="AU40">
        <f t="shared" ca="1" si="29"/>
        <v>-9.1913306816290789E-3</v>
      </c>
      <c r="AV40">
        <f t="shared" ca="1" si="29"/>
        <v>-2.9348692846917612E-3</v>
      </c>
      <c r="AW40">
        <f t="shared" ca="1" si="29"/>
        <v>-1.1262782759050693E-2</v>
      </c>
      <c r="AX40">
        <f t="shared" ca="1" si="29"/>
        <v>1.5612176313602121E-3</v>
      </c>
      <c r="AY40">
        <f t="shared" ca="1" si="29"/>
        <v>9.1233568801500848E-4</v>
      </c>
      <c r="AZ40">
        <f t="shared" ca="1" si="29"/>
        <v>-7.0327607690997629E-3</v>
      </c>
      <c r="BA40">
        <f t="shared" ca="1" si="29"/>
        <v>7.4440151313606255E-3</v>
      </c>
      <c r="BB40">
        <f t="shared" ca="1" si="29"/>
        <v>-1.1395457109996162E-3</v>
      </c>
      <c r="BC40">
        <f t="shared" ca="1" si="29"/>
        <v>8.4785088182767095E-3</v>
      </c>
      <c r="BD40">
        <f t="shared" ca="1" si="29"/>
        <v>-4.8779251973060109E-3</v>
      </c>
      <c r="BE40">
        <f t="shared" ca="1" si="29"/>
        <v>4.5977954010037389E-3</v>
      </c>
      <c r="BF40">
        <f t="shared" ca="1" si="29"/>
        <v>4.0438138208593512E-3</v>
      </c>
      <c r="BG40">
        <f t="shared" ca="1" si="29"/>
        <v>-1.4910138288390615E-2</v>
      </c>
      <c r="BH40">
        <f t="shared" ca="1" si="29"/>
        <v>2.7978499516394684E-3</v>
      </c>
      <c r="BI40">
        <f t="shared" ca="1" si="29"/>
        <v>3.4949423211460325E-3</v>
      </c>
      <c r="BJ40">
        <f t="shared" ca="1" si="29"/>
        <v>1.3479875404888486E-2</v>
      </c>
      <c r="BK40">
        <f t="shared" ca="1" si="29"/>
        <v>6.3609627116621775E-3</v>
      </c>
      <c r="BL40">
        <f t="shared" ca="1" si="29"/>
        <v>7.7622137370517603E-3</v>
      </c>
      <c r="BM40">
        <f t="shared" ca="1" si="29"/>
        <v>1.2019045516165675E-2</v>
      </c>
      <c r="BN40">
        <f t="shared" ca="1" si="29"/>
        <v>4.7925895039063098E-3</v>
      </c>
      <c r="BO40">
        <f t="shared" ca="1" si="29"/>
        <v>-6.162933043628323E-3</v>
      </c>
      <c r="BP40">
        <f t="shared" ca="1" si="29"/>
        <v>9.0494648405075595E-3</v>
      </c>
      <c r="BQ40">
        <f t="shared" ca="1" si="29"/>
        <v>-1.5533901547467078E-3</v>
      </c>
      <c r="BR40">
        <f t="shared" ca="1" si="29"/>
        <v>-2.964755965016895E-4</v>
      </c>
      <c r="BS40">
        <f t="shared" ca="1" si="29"/>
        <v>-6.2485684276884414E-3</v>
      </c>
      <c r="BT40">
        <f t="shared" ca="1" si="29"/>
        <v>4.8415586604735779E-3</v>
      </c>
      <c r="BU40">
        <f t="shared" ca="1" si="29"/>
        <v>-9.8277728121074388E-3</v>
      </c>
      <c r="BV40">
        <f t="shared" ca="1" si="29"/>
        <v>4.2143236615169435E-3</v>
      </c>
      <c r="BW40">
        <f t="shared" ca="1" si="29"/>
        <v>1.2091965858476951E-2</v>
      </c>
      <c r="BX40">
        <f t="shared" ca="1" si="29"/>
        <v>-4.0263560279292043E-4</v>
      </c>
      <c r="BY40">
        <f t="shared" ca="1" si="26"/>
        <v>1.6195162219943368E-2</v>
      </c>
      <c r="BZ40">
        <f t="shared" ca="1" si="26"/>
        <v>-3.1716930862207117E-3</v>
      </c>
      <c r="CA40">
        <f t="shared" ca="1" si="26"/>
        <v>4.9848080131108573E-3</v>
      </c>
      <c r="CB40">
        <f t="shared" ca="1" si="26"/>
        <v>1.6630330864615829E-2</v>
      </c>
      <c r="CC40">
        <f t="shared" ca="1" si="26"/>
        <v>-5.0808594006817394E-4</v>
      </c>
      <c r="CD40">
        <f t="shared" ca="1" si="26"/>
        <v>-5.4249060708606829E-3</v>
      </c>
      <c r="CE40">
        <f t="shared" ca="1" si="26"/>
        <v>-4.3479294051131778E-3</v>
      </c>
      <c r="CF40">
        <f t="shared" ca="1" si="26"/>
        <v>-1.2898306822752116E-3</v>
      </c>
      <c r="CG40">
        <f t="shared" ca="1" si="26"/>
        <v>-1.0119271495651835E-2</v>
      </c>
      <c r="CH40">
        <f t="shared" ca="1" si="26"/>
        <v>1.3962524804180365E-2</v>
      </c>
      <c r="CI40">
        <f t="shared" ca="1" si="26"/>
        <v>4.7867887700417571E-3</v>
      </c>
      <c r="CJ40">
        <f t="shared" ca="1" si="26"/>
        <v>-4.3336901474861824E-3</v>
      </c>
      <c r="CK40">
        <f t="shared" ca="1" si="26"/>
        <v>-9.6482802790507308E-3</v>
      </c>
      <c r="CL40">
        <f t="shared" ca="1" si="26"/>
        <v>8.0667720197049719E-3</v>
      </c>
      <c r="CM40">
        <f t="shared" ca="1" si="26"/>
        <v>1.5252590211207501E-3</v>
      </c>
      <c r="CN40">
        <f t="shared" ca="1" si="26"/>
        <v>4.8482028906248007E-3</v>
      </c>
      <c r="CO40">
        <f t="shared" ca="1" si="26"/>
        <v>1.9416478242395162E-3</v>
      </c>
      <c r="CP40">
        <f t="shared" ca="1" si="26"/>
        <v>3.3620948355961217E-3</v>
      </c>
      <c r="CQ40">
        <f t="shared" ca="1" si="26"/>
        <v>-3.5617385008622287E-4</v>
      </c>
      <c r="CR40">
        <f t="shared" ca="1" si="26"/>
        <v>-4.7356318129330756E-3</v>
      </c>
      <c r="CS40">
        <f t="shared" ca="1" si="26"/>
        <v>-1.8803938522210636E-3</v>
      </c>
      <c r="CT40">
        <f t="shared" ca="1" si="26"/>
        <v>-1.1795916115672285E-4</v>
      </c>
      <c r="CU40">
        <f t="shared" ca="1" si="26"/>
        <v>-7.2004062755537104E-3</v>
      </c>
      <c r="CV40">
        <f t="shared" ca="1" si="26"/>
        <v>-4.4457999515284366E-4</v>
      </c>
      <c r="CW40">
        <f t="shared" ca="1" si="26"/>
        <v>-1.7067878812909398E-2</v>
      </c>
      <c r="CX40">
        <f t="shared" ca="1" si="26"/>
        <v>-2.4595811220003117E-4</v>
      </c>
      <c r="CY40">
        <f t="shared" ca="1" si="26"/>
        <v>2.0335984648155161E-3</v>
      </c>
      <c r="CZ40">
        <f t="shared" ca="1" si="26"/>
        <v>5.5789328852915484E-3</v>
      </c>
      <c r="DA40">
        <f t="shared" ca="1" si="26"/>
        <v>-6.8284448061612239E-5</v>
      </c>
      <c r="DB40">
        <f t="shared" ca="1" si="26"/>
        <v>-5.2180503852750854E-3</v>
      </c>
      <c r="DC40">
        <f t="shared" ca="1" si="26"/>
        <v>2.2469490730765724E-3</v>
      </c>
      <c r="DD40">
        <f t="shared" ca="1" si="26"/>
        <v>8.0793337415715621E-3</v>
      </c>
      <c r="DE40">
        <f t="shared" ca="1" si="26"/>
        <v>-3.1911394963217298E-3</v>
      </c>
      <c r="DF40">
        <f t="shared" ca="1" si="26"/>
        <v>-1.0555135249847127E-3</v>
      </c>
      <c r="DG40">
        <f t="shared" ca="1" si="26"/>
        <v>-7.9054949822317862E-3</v>
      </c>
    </row>
    <row r="41" spans="1:111">
      <c r="A41" s="2">
        <v>45982</v>
      </c>
      <c r="B41">
        <v>270.75299072265619</v>
      </c>
      <c r="C41">
        <f t="shared" si="0"/>
        <v>8.464161312119323E-3</v>
      </c>
      <c r="J41">
        <v>5</v>
      </c>
      <c r="K41">
        <f t="shared" si="28"/>
        <v>0</v>
      </c>
      <c r="L41">
        <f t="shared" ca="1" si="27"/>
        <v>-1.4786956023109249E-2</v>
      </c>
      <c r="M41">
        <f t="shared" ca="1" si="29"/>
        <v>-1.0059832036023141E-2</v>
      </c>
      <c r="N41">
        <f t="shared" ca="1" si="29"/>
        <v>5.519498592997195E-3</v>
      </c>
      <c r="O41">
        <f t="shared" ca="1" si="29"/>
        <v>3.9616587698628556E-3</v>
      </c>
      <c r="P41">
        <f t="shared" ca="1" si="29"/>
        <v>6.7946753901470388E-3</v>
      </c>
      <c r="Q41">
        <f t="shared" ca="1" si="29"/>
        <v>-2.3961442940390577E-3</v>
      </c>
      <c r="R41">
        <f t="shared" ca="1" si="29"/>
        <v>-1.0038274409243477E-2</v>
      </c>
      <c r="S41">
        <f t="shared" ca="1" si="29"/>
        <v>6.019637589672922E-3</v>
      </c>
      <c r="T41">
        <f t="shared" ca="1" si="29"/>
        <v>2.1200307737442772E-3</v>
      </c>
      <c r="U41">
        <f t="shared" ca="1" si="29"/>
        <v>6.6686635573918866E-4</v>
      </c>
      <c r="V41">
        <f t="shared" ca="1" si="29"/>
        <v>-2.815666136634067E-3</v>
      </c>
      <c r="W41">
        <f t="shared" ca="1" si="29"/>
        <v>8.5196109971209938E-3</v>
      </c>
      <c r="X41">
        <f t="shared" ca="1" si="29"/>
        <v>4.9600806123666361E-3</v>
      </c>
      <c r="Y41">
        <f t="shared" ca="1" si="29"/>
        <v>9.6979377802387939E-3</v>
      </c>
      <c r="Z41">
        <f t="shared" ca="1" si="29"/>
        <v>3.440182190842966E-3</v>
      </c>
      <c r="AA41">
        <f t="shared" ca="1" si="29"/>
        <v>-1.2955746845769214E-2</v>
      </c>
      <c r="AB41">
        <f t="shared" ca="1" si="29"/>
        <v>-6.9075078489423437E-3</v>
      </c>
      <c r="AC41">
        <f t="shared" ca="1" si="29"/>
        <v>3.0575595584415947E-3</v>
      </c>
      <c r="AD41">
        <f t="shared" ca="1" si="29"/>
        <v>-3.9777842660795705E-3</v>
      </c>
      <c r="AE41">
        <f t="shared" ca="1" si="29"/>
        <v>5.6970876289079899E-3</v>
      </c>
      <c r="AF41">
        <f t="shared" ca="1" si="29"/>
        <v>4.1831515694507812E-3</v>
      </c>
      <c r="AG41">
        <f t="shared" ca="1" si="29"/>
        <v>-8.9257570230239416E-3</v>
      </c>
      <c r="AH41">
        <f t="shared" ca="1" si="29"/>
        <v>-4.4425120564279951E-3</v>
      </c>
      <c r="AI41">
        <f t="shared" ca="1" si="29"/>
        <v>2.3229354255681245E-3</v>
      </c>
      <c r="AJ41">
        <f t="shared" ca="1" si="29"/>
        <v>-1.4486126211137693E-2</v>
      </c>
      <c r="AK41">
        <f t="shared" ca="1" si="29"/>
        <v>1.9579820807552437E-3</v>
      </c>
      <c r="AL41">
        <f t="shared" ca="1" si="29"/>
        <v>-4.1595751260291945E-3</v>
      </c>
      <c r="AM41">
        <f t="shared" ca="1" si="29"/>
        <v>5.5654728337314234E-3</v>
      </c>
      <c r="AN41">
        <f t="shared" ca="1" si="29"/>
        <v>-7.5293660937050177E-3</v>
      </c>
      <c r="AO41">
        <f t="shared" ca="1" si="29"/>
        <v>-1.3711752439783117E-2</v>
      </c>
      <c r="AP41">
        <f t="shared" ca="1" si="29"/>
        <v>1.4314571848688003E-2</v>
      </c>
      <c r="AQ41">
        <f t="shared" ca="1" si="29"/>
        <v>5.5708371810775127E-3</v>
      </c>
      <c r="AR41">
        <f t="shared" ca="1" si="29"/>
        <v>7.7390525119747505E-3</v>
      </c>
      <c r="AS41">
        <f t="shared" ca="1" si="29"/>
        <v>2.9586996752151585E-3</v>
      </c>
      <c r="AT41">
        <f t="shared" ca="1" si="29"/>
        <v>5.8490001182166459E-4</v>
      </c>
      <c r="AU41">
        <f t="shared" ca="1" si="29"/>
        <v>6.1426127882270403E-4</v>
      </c>
      <c r="AV41">
        <f t="shared" ca="1" si="29"/>
        <v>-1.6940841217428866E-3</v>
      </c>
      <c r="AW41">
        <f t="shared" ca="1" si="29"/>
        <v>-2.1394122046423185E-3</v>
      </c>
      <c r="AX41">
        <f t="shared" ca="1" si="29"/>
        <v>2.1228624421143387E-3</v>
      </c>
      <c r="AY41">
        <f t="shared" ca="1" si="29"/>
        <v>-4.0417213921323785E-3</v>
      </c>
      <c r="AZ41">
        <f t="shared" ca="1" si="29"/>
        <v>2.6670031882284136E-3</v>
      </c>
      <c r="BA41">
        <f t="shared" ca="1" si="29"/>
        <v>-6.3464757621820161E-3</v>
      </c>
      <c r="BB41">
        <f t="shared" ca="1" si="29"/>
        <v>-1.1034077922492011E-2</v>
      </c>
      <c r="BC41">
        <f t="shared" ca="1" si="29"/>
        <v>6.7055297718354645E-3</v>
      </c>
      <c r="BD41">
        <f t="shared" ca="1" si="29"/>
        <v>5.2716947325871398E-3</v>
      </c>
      <c r="BE41">
        <f t="shared" ca="1" si="29"/>
        <v>-2.8884465282122615E-3</v>
      </c>
      <c r="BF41">
        <f t="shared" ca="1" si="29"/>
        <v>1.9279760681680344E-2</v>
      </c>
      <c r="BG41">
        <f t="shared" ca="1" si="29"/>
        <v>5.5187346815421794E-3</v>
      </c>
      <c r="BH41">
        <f t="shared" ca="1" si="29"/>
        <v>1.2830860072467309E-2</v>
      </c>
      <c r="BI41">
        <f t="shared" ca="1" si="29"/>
        <v>-1.5652798512839595E-3</v>
      </c>
      <c r="BJ41">
        <f t="shared" ca="1" si="29"/>
        <v>8.8485242673758439E-5</v>
      </c>
      <c r="BK41">
        <f t="shared" ca="1" si="29"/>
        <v>2.6860874154132626E-3</v>
      </c>
      <c r="BL41">
        <f t="shared" ca="1" si="29"/>
        <v>-6.2287875512918901E-3</v>
      </c>
      <c r="BM41">
        <f t="shared" ca="1" si="29"/>
        <v>-1.7460711603865206E-3</v>
      </c>
      <c r="BN41">
        <f t="shared" ca="1" si="29"/>
        <v>-1.8525265594019279E-3</v>
      </c>
      <c r="BO41">
        <f t="shared" ca="1" si="29"/>
        <v>7.3373131859777001E-3</v>
      </c>
      <c r="BP41">
        <f t="shared" ca="1" si="29"/>
        <v>2.3392450328306082E-3</v>
      </c>
      <c r="BQ41">
        <f t="shared" ca="1" si="29"/>
        <v>4.0185030741792995E-3</v>
      </c>
      <c r="BR41">
        <f t="shared" ca="1" si="29"/>
        <v>7.2747750225687843E-3</v>
      </c>
      <c r="BS41">
        <f t="shared" ca="1" si="29"/>
        <v>-5.5680347897396672E-3</v>
      </c>
      <c r="BT41">
        <f t="shared" ca="1" si="29"/>
        <v>3.5168481589819473E-3</v>
      </c>
      <c r="BU41">
        <f t="shared" ca="1" si="29"/>
        <v>1.8659156867746638E-2</v>
      </c>
      <c r="BV41">
        <f t="shared" ca="1" si="29"/>
        <v>-1.1247934074596024E-5</v>
      </c>
      <c r="BW41">
        <f t="shared" ca="1" si="29"/>
        <v>-2.595881000192831E-3</v>
      </c>
      <c r="BX41">
        <f t="shared" ca="1" si="29"/>
        <v>3.6931941811794125E-3</v>
      </c>
      <c r="BY41">
        <f t="shared" ca="1" si="26"/>
        <v>5.6060452981827333E-3</v>
      </c>
      <c r="BZ41">
        <f t="shared" ca="1" si="26"/>
        <v>9.2252832486706461E-4</v>
      </c>
      <c r="CA41">
        <f t="shared" ca="1" si="26"/>
        <v>-7.6864109054426239E-3</v>
      </c>
      <c r="CB41">
        <f t="shared" ca="1" si="26"/>
        <v>1.0007696151841188E-3</v>
      </c>
      <c r="CC41">
        <f t="shared" ca="1" si="26"/>
        <v>9.7144362438796646E-3</v>
      </c>
      <c r="CD41">
        <f t="shared" ca="1" si="26"/>
        <v>1.4496806908449188E-2</v>
      </c>
      <c r="CE41">
        <f t="shared" ca="1" si="26"/>
        <v>-2.3277997947693204E-3</v>
      </c>
      <c r="CF41">
        <f t="shared" ca="1" si="26"/>
        <v>-2.1698219403822371E-3</v>
      </c>
      <c r="CG41">
        <f t="shared" ca="1" si="26"/>
        <v>-8.8737429416198103E-4</v>
      </c>
      <c r="CH41">
        <f t="shared" ca="1" si="26"/>
        <v>-3.7038258796587681E-3</v>
      </c>
      <c r="CI41">
        <f t="shared" ca="1" si="26"/>
        <v>3.5656570363473521E-3</v>
      </c>
      <c r="CJ41">
        <f t="shared" ca="1" si="26"/>
        <v>2.2306560051436552E-3</v>
      </c>
      <c r="CK41">
        <f t="shared" ca="1" si="26"/>
        <v>1.0702221127993515E-2</v>
      </c>
      <c r="CL41">
        <f t="shared" ca="1" si="26"/>
        <v>-5.1250605685744374E-3</v>
      </c>
      <c r="CM41">
        <f t="shared" ca="1" si="26"/>
        <v>-4.5422426409440697E-3</v>
      </c>
      <c r="CN41">
        <f t="shared" ca="1" si="26"/>
        <v>2.3700965727953729E-2</v>
      </c>
      <c r="CO41">
        <f t="shared" ca="1" si="26"/>
        <v>-5.2076141383231734E-3</v>
      </c>
      <c r="CP41">
        <f t="shared" ca="1" si="26"/>
        <v>-1.7742518342480484E-3</v>
      </c>
      <c r="CQ41">
        <f t="shared" ca="1" si="26"/>
        <v>1.9901270111194421E-3</v>
      </c>
      <c r="CR41">
        <f t="shared" ca="1" si="26"/>
        <v>-6.3844957720892602E-3</v>
      </c>
      <c r="CS41">
        <f t="shared" ca="1" si="26"/>
        <v>-7.0294569282113514E-3</v>
      </c>
      <c r="CT41">
        <f t="shared" ca="1" si="26"/>
        <v>8.0976004944691236E-4</v>
      </c>
      <c r="CU41">
        <f t="shared" ca="1" si="26"/>
        <v>8.7034523941258626E-3</v>
      </c>
      <c r="CV41">
        <f t="shared" ca="1" si="26"/>
        <v>7.979932575821962E-5</v>
      </c>
      <c r="CW41">
        <f t="shared" ca="1" si="26"/>
        <v>-6.8772385299794604E-3</v>
      </c>
      <c r="CX41">
        <f t="shared" ca="1" si="26"/>
        <v>-9.6889394848736696E-3</v>
      </c>
      <c r="CY41">
        <f t="shared" ca="1" si="26"/>
        <v>4.6989152720158904E-3</v>
      </c>
      <c r="CZ41">
        <f t="shared" ca="1" si="26"/>
        <v>-4.2858953367350431E-3</v>
      </c>
      <c r="DA41">
        <f t="shared" ca="1" si="26"/>
        <v>-4.5902036163191356E-3</v>
      </c>
      <c r="DB41">
        <f t="shared" ca="1" si="26"/>
        <v>2.9211827024981239E-3</v>
      </c>
      <c r="DC41">
        <f t="shared" ca="1" si="26"/>
        <v>3.9458659222038178E-4</v>
      </c>
      <c r="DD41">
        <f t="shared" ca="1" si="26"/>
        <v>-1.2840556889658409E-3</v>
      </c>
      <c r="DE41">
        <f t="shared" ca="1" si="26"/>
        <v>-9.1163675579007467E-3</v>
      </c>
      <c r="DF41">
        <f t="shared" ca="1" si="26"/>
        <v>-4.544552324222793E-3</v>
      </c>
      <c r="DG41">
        <f t="shared" ca="1" si="26"/>
        <v>-2.4241784739963967E-4</v>
      </c>
    </row>
    <row r="42" spans="1:111">
      <c r="A42" s="2">
        <v>45985</v>
      </c>
      <c r="B42">
        <v>275.1710205078125</v>
      </c>
      <c r="C42">
        <f t="shared" si="0"/>
        <v>7.0294319585342364E-3</v>
      </c>
      <c r="J42">
        <v>6</v>
      </c>
      <c r="K42">
        <f t="shared" si="28"/>
        <v>0</v>
      </c>
      <c r="L42">
        <f t="shared" ca="1" si="27"/>
        <v>-4.2058072132792994E-3</v>
      </c>
      <c r="M42">
        <f t="shared" ca="1" si="29"/>
        <v>-4.2598071901622965E-3</v>
      </c>
      <c r="N42">
        <f t="shared" ca="1" si="29"/>
        <v>6.3187584746278377E-3</v>
      </c>
      <c r="O42">
        <f t="shared" ca="1" si="29"/>
        <v>-2.692436871978112E-3</v>
      </c>
      <c r="P42">
        <f t="shared" ca="1" si="29"/>
        <v>-2.7398477857617713E-3</v>
      </c>
      <c r="Q42">
        <f t="shared" ca="1" si="29"/>
        <v>6.8894848868382777E-3</v>
      </c>
      <c r="R42">
        <f t="shared" ca="1" si="29"/>
        <v>4.4058251142579915E-3</v>
      </c>
      <c r="S42">
        <f t="shared" ca="1" si="29"/>
        <v>1.069286453006525E-2</v>
      </c>
      <c r="T42">
        <f t="shared" ca="1" si="29"/>
        <v>1.9310093132008138E-3</v>
      </c>
      <c r="U42">
        <f t="shared" ca="1" si="29"/>
        <v>-1.663491364946933E-2</v>
      </c>
      <c r="V42">
        <f t="shared" ca="1" si="29"/>
        <v>9.1169970155424154E-4</v>
      </c>
      <c r="W42">
        <f t="shared" ca="1" si="29"/>
        <v>-9.208838817868166E-3</v>
      </c>
      <c r="X42">
        <f t="shared" ca="1" si="29"/>
        <v>1.2241256643112139E-2</v>
      </c>
      <c r="Y42">
        <f t="shared" ca="1" si="29"/>
        <v>-3.0546394145807058E-3</v>
      </c>
      <c r="Z42">
        <f t="shared" ca="1" si="29"/>
        <v>2.3829111717903837E-3</v>
      </c>
      <c r="AA42">
        <f t="shared" ca="1" si="29"/>
        <v>1.5575129695715584E-4</v>
      </c>
      <c r="AB42">
        <f t="shared" ca="1" si="29"/>
        <v>6.8186883496677668E-3</v>
      </c>
      <c r="AC42">
        <f t="shared" ca="1" si="29"/>
        <v>2.810776772590741E-3</v>
      </c>
      <c r="AD42">
        <f t="shared" ca="1" si="29"/>
        <v>-1.798918746018412E-2</v>
      </c>
      <c r="AE42">
        <f t="shared" ca="1" si="29"/>
        <v>5.748561224411656E-3</v>
      </c>
      <c r="AF42">
        <f t="shared" ca="1" si="29"/>
        <v>-9.2846287574915014E-3</v>
      </c>
      <c r="AG42">
        <f t="shared" ca="1" si="29"/>
        <v>9.3680894164743268E-3</v>
      </c>
      <c r="AH42">
        <f t="shared" ca="1" si="29"/>
        <v>-1.5823699277778104E-3</v>
      </c>
      <c r="AI42">
        <f t="shared" ca="1" si="29"/>
        <v>-1.700520226604384E-2</v>
      </c>
      <c r="AJ42">
        <f t="shared" ca="1" si="29"/>
        <v>5.0463576606369613E-5</v>
      </c>
      <c r="AK42">
        <f t="shared" ca="1" si="29"/>
        <v>1.6456275966737779E-2</v>
      </c>
      <c r="AL42">
        <f t="shared" ca="1" si="29"/>
        <v>-8.6477302944468291E-3</v>
      </c>
      <c r="AM42">
        <f t="shared" ca="1" si="29"/>
        <v>4.7836134815208891E-3</v>
      </c>
      <c r="AN42">
        <f t="shared" ca="1" si="29"/>
        <v>4.3294354883010181E-3</v>
      </c>
      <c r="AO42">
        <f t="shared" ca="1" si="29"/>
        <v>1.5044288484442041E-2</v>
      </c>
      <c r="AP42">
        <f t="shared" ca="1" si="29"/>
        <v>8.5701626379141929E-3</v>
      </c>
      <c r="AQ42">
        <f t="shared" ca="1" si="29"/>
        <v>1.167079407548398E-2</v>
      </c>
      <c r="AR42">
        <f t="shared" ca="1" si="29"/>
        <v>6.4961728878402481E-3</v>
      </c>
      <c r="AS42">
        <f t="shared" ca="1" si="29"/>
        <v>-8.1756419578939508E-3</v>
      </c>
      <c r="AT42">
        <f t="shared" ca="1" si="29"/>
        <v>3.1813290393562735E-3</v>
      </c>
      <c r="AU42">
        <f t="shared" ca="1" si="29"/>
        <v>2.0593440309470746E-3</v>
      </c>
      <c r="AV42">
        <f t="shared" ca="1" si="29"/>
        <v>-5.8708754480719079E-3</v>
      </c>
      <c r="AW42">
        <f t="shared" ca="1" si="29"/>
        <v>1.546796385711743E-2</v>
      </c>
      <c r="AX42">
        <f t="shared" ca="1" si="29"/>
        <v>-6.9866321943700778E-3</v>
      </c>
      <c r="AY42">
        <f t="shared" ca="1" si="29"/>
        <v>-6.3515624269023675E-3</v>
      </c>
      <c r="AZ42">
        <f t="shared" ca="1" si="29"/>
        <v>-2.8522854516396193E-3</v>
      </c>
      <c r="BA42">
        <f t="shared" ca="1" si="29"/>
        <v>-6.8647534877649431E-4</v>
      </c>
      <c r="BB42">
        <f t="shared" ca="1" si="29"/>
        <v>6.2576230154289393E-4</v>
      </c>
      <c r="BC42">
        <f t="shared" ca="1" si="29"/>
        <v>5.078100802048781E-3</v>
      </c>
      <c r="BD42">
        <f t="shared" ca="1" si="29"/>
        <v>3.7672739384390099E-3</v>
      </c>
      <c r="BE42">
        <f t="shared" ca="1" si="29"/>
        <v>-6.5754818071377535E-3</v>
      </c>
      <c r="BF42">
        <f t="shared" ca="1" si="29"/>
        <v>1.0520757805264017E-3</v>
      </c>
      <c r="BG42">
        <f t="shared" ca="1" si="29"/>
        <v>3.1400695308158271E-4</v>
      </c>
      <c r="BH42">
        <f t="shared" ca="1" si="29"/>
        <v>-2.3478264339456541E-3</v>
      </c>
      <c r="BI42">
        <f t="shared" ca="1" si="29"/>
        <v>-7.6352532362540118E-3</v>
      </c>
      <c r="BJ42">
        <f t="shared" ca="1" si="29"/>
        <v>8.5136402218044249E-3</v>
      </c>
      <c r="BK42">
        <f t="shared" ca="1" si="29"/>
        <v>-8.6659797479219959E-3</v>
      </c>
      <c r="BL42">
        <f t="shared" ca="1" si="29"/>
        <v>4.3980101118824104E-3</v>
      </c>
      <c r="BM42">
        <f t="shared" ca="1" si="29"/>
        <v>8.1760376166557401E-4</v>
      </c>
      <c r="BN42">
        <f t="shared" ca="1" si="29"/>
        <v>-6.939393073968219E-3</v>
      </c>
      <c r="BO42">
        <f t="shared" ca="1" si="29"/>
        <v>-9.033988136298278E-3</v>
      </c>
      <c r="BP42">
        <f t="shared" ca="1" si="29"/>
        <v>2.7022090049139201E-4</v>
      </c>
      <c r="BQ42">
        <f t="shared" ca="1" si="29"/>
        <v>5.8494459778536271E-3</v>
      </c>
      <c r="BR42">
        <f t="shared" ca="1" si="29"/>
        <v>-4.6611857362377296E-3</v>
      </c>
      <c r="BS42">
        <f t="shared" ca="1" si="29"/>
        <v>3.5788048879150367E-3</v>
      </c>
      <c r="BT42">
        <f t="shared" ca="1" si="29"/>
        <v>7.0505226309545629E-3</v>
      </c>
      <c r="BU42">
        <f t="shared" ca="1" si="29"/>
        <v>-5.1510463651317151E-3</v>
      </c>
      <c r="BV42">
        <f t="shared" ca="1" si="29"/>
        <v>6.222348272955933E-3</v>
      </c>
      <c r="BW42">
        <f t="shared" ca="1" si="29"/>
        <v>-6.4705914594033725E-3</v>
      </c>
      <c r="BX42">
        <f t="shared" ref="BX42:DG45" ca="1" si="30">$G$5*$G$11*NORMSINV(RAND())</f>
        <v>3.8360037794508573E-3</v>
      </c>
      <c r="BY42">
        <f t="shared" ca="1" si="30"/>
        <v>-2.037753312441672E-2</v>
      </c>
      <c r="BZ42">
        <f t="shared" ca="1" si="30"/>
        <v>-2.9971705357187802E-4</v>
      </c>
      <c r="CA42">
        <f t="shared" ca="1" si="30"/>
        <v>-3.8218406975185784E-3</v>
      </c>
      <c r="CB42">
        <f t="shared" ca="1" si="30"/>
        <v>1.2207410246726703E-2</v>
      </c>
      <c r="CC42">
        <f t="shared" ca="1" si="30"/>
        <v>-5.4291538134238924E-3</v>
      </c>
      <c r="CD42">
        <f t="shared" ca="1" si="30"/>
        <v>-6.0402605102363328E-3</v>
      </c>
      <c r="CE42">
        <f t="shared" ca="1" si="30"/>
        <v>1.636583941011982E-2</v>
      </c>
      <c r="CF42">
        <f t="shared" ca="1" si="30"/>
        <v>1.7060357563109941E-3</v>
      </c>
      <c r="CG42">
        <f t="shared" ca="1" si="30"/>
        <v>-1.4400489228317274E-2</v>
      </c>
      <c r="CH42">
        <f t="shared" ca="1" si="30"/>
        <v>5.0272987682035211E-3</v>
      </c>
      <c r="CI42">
        <f t="shared" ca="1" si="30"/>
        <v>-2.7642698415174553E-3</v>
      </c>
      <c r="CJ42">
        <f t="shared" ca="1" si="30"/>
        <v>1.7184172565328636E-3</v>
      </c>
      <c r="CK42">
        <f t="shared" ca="1" si="30"/>
        <v>8.0419524569803544E-4</v>
      </c>
      <c r="CL42">
        <f t="shared" ca="1" si="30"/>
        <v>1.2726853429630302E-2</v>
      </c>
      <c r="CM42">
        <f t="shared" ca="1" si="30"/>
        <v>-1.3750959848327382E-3</v>
      </c>
      <c r="CN42">
        <f t="shared" ca="1" si="30"/>
        <v>3.5797827990372922E-3</v>
      </c>
      <c r="CO42">
        <f t="shared" ca="1" si="30"/>
        <v>-4.556083214543892E-3</v>
      </c>
      <c r="CP42">
        <f t="shared" ca="1" si="30"/>
        <v>4.8352275753709892E-4</v>
      </c>
      <c r="CQ42">
        <f t="shared" ca="1" si="30"/>
        <v>-1.668915181879503E-3</v>
      </c>
      <c r="CR42">
        <f t="shared" ca="1" si="30"/>
        <v>-2.3244168557753921E-3</v>
      </c>
      <c r="CS42">
        <f t="shared" ca="1" si="30"/>
        <v>6.1228598640419149E-3</v>
      </c>
      <c r="CT42">
        <f t="shared" ca="1" si="30"/>
        <v>5.5062665604117926E-3</v>
      </c>
      <c r="CU42">
        <f t="shared" ca="1" si="30"/>
        <v>5.3006112538834631E-3</v>
      </c>
      <c r="CV42">
        <f t="shared" ca="1" si="30"/>
        <v>9.9049766779246381E-4</v>
      </c>
      <c r="CW42">
        <f t="shared" ca="1" si="30"/>
        <v>-1.8062876122719499E-3</v>
      </c>
      <c r="CX42">
        <f t="shared" ca="1" si="30"/>
        <v>-8.9188816231763912E-4</v>
      </c>
      <c r="CY42">
        <f t="shared" ca="1" si="30"/>
        <v>-2.0824987190926876E-3</v>
      </c>
      <c r="CZ42">
        <f t="shared" ca="1" si="30"/>
        <v>-1.013462067893742E-3</v>
      </c>
      <c r="DA42">
        <f t="shared" ca="1" si="30"/>
        <v>3.3387240656536322E-3</v>
      </c>
      <c r="DB42">
        <f t="shared" ca="1" si="30"/>
        <v>2.0979130721668167E-3</v>
      </c>
      <c r="DC42">
        <f t="shared" ca="1" si="30"/>
        <v>-9.5114911173278388E-3</v>
      </c>
      <c r="DD42">
        <f t="shared" ca="1" si="30"/>
        <v>3.2902287075781233E-3</v>
      </c>
      <c r="DE42">
        <f t="shared" ca="1" si="30"/>
        <v>4.2554933982253251E-3</v>
      </c>
      <c r="DF42">
        <f t="shared" ca="1" si="30"/>
        <v>7.446547207203253E-4</v>
      </c>
      <c r="DG42">
        <f t="shared" ca="1" si="30"/>
        <v>3.106953191998657E-3</v>
      </c>
    </row>
    <row r="43" spans="1:111">
      <c r="A43" s="2">
        <v>45986</v>
      </c>
      <c r="B43">
        <v>276.21817016601563</v>
      </c>
      <c r="C43">
        <f t="shared" si="0"/>
        <v>1.6495494387904861E-3</v>
      </c>
      <c r="J43">
        <v>7</v>
      </c>
      <c r="K43">
        <f t="shared" si="28"/>
        <v>0</v>
      </c>
      <c r="L43">
        <f t="shared" ca="1" si="27"/>
        <v>8.5379743298765309E-3</v>
      </c>
      <c r="M43">
        <f t="shared" ref="M43:BX46" ca="1" si="31">$G$5*$G$11*NORMSINV(RAND())</f>
        <v>5.5671468740613904E-3</v>
      </c>
      <c r="N43">
        <f t="shared" ca="1" si="31"/>
        <v>2.4931860227443894E-3</v>
      </c>
      <c r="O43">
        <f t="shared" ca="1" si="31"/>
        <v>-1.0140416211659659E-3</v>
      </c>
      <c r="P43">
        <f t="shared" ca="1" si="31"/>
        <v>-2.7694741595753387E-3</v>
      </c>
      <c r="Q43">
        <f t="shared" ca="1" si="31"/>
        <v>-1.0885847996209536E-2</v>
      </c>
      <c r="R43">
        <f t="shared" ca="1" si="31"/>
        <v>1.3502741485595601E-2</v>
      </c>
      <c r="S43">
        <f t="shared" ca="1" si="31"/>
        <v>7.2573203931168917E-3</v>
      </c>
      <c r="T43">
        <f t="shared" ca="1" si="31"/>
        <v>-7.4205626907145232E-3</v>
      </c>
      <c r="U43">
        <f t="shared" ca="1" si="31"/>
        <v>-4.4751863018090048E-3</v>
      </c>
      <c r="V43">
        <f t="shared" ca="1" si="31"/>
        <v>9.534311249260196E-3</v>
      </c>
      <c r="W43">
        <f t="shared" ca="1" si="31"/>
        <v>6.8413927474242032E-3</v>
      </c>
      <c r="X43">
        <f t="shared" ca="1" si="31"/>
        <v>-5.5373676481805393E-3</v>
      </c>
      <c r="Y43">
        <f t="shared" ca="1" si="31"/>
        <v>4.4318934600104636E-4</v>
      </c>
      <c r="Z43">
        <f t="shared" ca="1" si="31"/>
        <v>-2.6570133863169656E-3</v>
      </c>
      <c r="AA43">
        <f t="shared" ca="1" si="31"/>
        <v>-2.6689390180199405E-3</v>
      </c>
      <c r="AB43">
        <f t="shared" ca="1" si="31"/>
        <v>-5.4098388623391074E-3</v>
      </c>
      <c r="AC43">
        <f t="shared" ca="1" si="31"/>
        <v>1.3370818243569364E-2</v>
      </c>
      <c r="AD43">
        <f t="shared" ca="1" si="31"/>
        <v>6.7629540000021613E-3</v>
      </c>
      <c r="AE43">
        <f t="shared" ca="1" si="31"/>
        <v>-7.3203022149627393E-3</v>
      </c>
      <c r="AF43">
        <f t="shared" ca="1" si="31"/>
        <v>1.8809007770438804E-3</v>
      </c>
      <c r="AG43">
        <f t="shared" ca="1" si="31"/>
        <v>-7.0143171150772966E-3</v>
      </c>
      <c r="AH43">
        <f t="shared" ca="1" si="31"/>
        <v>8.4939351828405892E-3</v>
      </c>
      <c r="AI43">
        <f t="shared" ca="1" si="31"/>
        <v>7.8546352161937335E-3</v>
      </c>
      <c r="AJ43">
        <f t="shared" ca="1" si="31"/>
        <v>-1.2030032729563274E-2</v>
      </c>
      <c r="AK43">
        <f t="shared" ca="1" si="31"/>
        <v>5.1740146735275352E-3</v>
      </c>
      <c r="AL43">
        <f t="shared" ca="1" si="31"/>
        <v>-2.1622206419821999E-3</v>
      </c>
      <c r="AM43">
        <f t="shared" ca="1" si="31"/>
        <v>-1.4632609575013463E-2</v>
      </c>
      <c r="AN43">
        <f t="shared" ca="1" si="31"/>
        <v>-2.3000919025596735E-3</v>
      </c>
      <c r="AO43">
        <f t="shared" ca="1" si="31"/>
        <v>-1.8431536418025852E-2</v>
      </c>
      <c r="AP43">
        <f t="shared" ca="1" si="31"/>
        <v>-2.9808452741590663E-3</v>
      </c>
      <c r="AQ43">
        <f t="shared" ca="1" si="31"/>
        <v>-2.6144810092172579E-4</v>
      </c>
      <c r="AR43">
        <f t="shared" ca="1" si="31"/>
        <v>3.6023848088231495E-4</v>
      </c>
      <c r="AS43">
        <f t="shared" ca="1" si="31"/>
        <v>-8.0688470466588214E-3</v>
      </c>
      <c r="AT43">
        <f t="shared" ca="1" si="31"/>
        <v>-7.8622715796263249E-3</v>
      </c>
      <c r="AU43">
        <f t="shared" ca="1" si="31"/>
        <v>5.9927986889320997E-4</v>
      </c>
      <c r="AV43">
        <f t="shared" ca="1" si="31"/>
        <v>6.1163760303684202E-3</v>
      </c>
      <c r="AW43">
        <f t="shared" ca="1" si="31"/>
        <v>1.8080629465339138E-3</v>
      </c>
      <c r="AX43">
        <f t="shared" ca="1" si="31"/>
        <v>7.0888608687639761E-4</v>
      </c>
      <c r="AY43">
        <f t="shared" ca="1" si="31"/>
        <v>1.118285924435654E-2</v>
      </c>
      <c r="AZ43">
        <f t="shared" ca="1" si="31"/>
        <v>-3.4277986247630361E-3</v>
      </c>
      <c r="BA43">
        <f t="shared" ca="1" si="31"/>
        <v>-1.557469309409937E-3</v>
      </c>
      <c r="BB43">
        <f t="shared" ca="1" si="31"/>
        <v>6.8996550113260954E-4</v>
      </c>
      <c r="BC43">
        <f t="shared" ca="1" si="31"/>
        <v>1.4951087945172525E-2</v>
      </c>
      <c r="BD43">
        <f t="shared" ca="1" si="31"/>
        <v>-3.397460915522431E-3</v>
      </c>
      <c r="BE43">
        <f t="shared" ca="1" si="31"/>
        <v>1.1467737971433634E-2</v>
      </c>
      <c r="BF43">
        <f t="shared" ca="1" si="31"/>
        <v>1.2622686308716747E-4</v>
      </c>
      <c r="BG43">
        <f t="shared" ca="1" si="31"/>
        <v>3.3536227021983274E-3</v>
      </c>
      <c r="BH43">
        <f t="shared" ca="1" si="31"/>
        <v>-5.8374636294549779E-3</v>
      </c>
      <c r="BI43">
        <f t="shared" ca="1" si="31"/>
        <v>2.1122302534313658E-3</v>
      </c>
      <c r="BJ43">
        <f t="shared" ca="1" si="31"/>
        <v>9.9325519600005786E-3</v>
      </c>
      <c r="BK43">
        <f t="shared" ca="1" si="31"/>
        <v>9.4982476813076911E-4</v>
      </c>
      <c r="BL43">
        <f t="shared" ca="1" si="31"/>
        <v>-1.9183830092731773E-3</v>
      </c>
      <c r="BM43">
        <f t="shared" ca="1" si="31"/>
        <v>-6.3856820238460451E-3</v>
      </c>
      <c r="BN43">
        <f t="shared" ca="1" si="31"/>
        <v>-5.5111834445080955E-3</v>
      </c>
      <c r="BO43">
        <f t="shared" ca="1" si="31"/>
        <v>3.1521086430565102E-3</v>
      </c>
      <c r="BP43">
        <f t="shared" ca="1" si="31"/>
        <v>1.7317778192100298E-3</v>
      </c>
      <c r="BQ43">
        <f t="shared" ca="1" si="31"/>
        <v>6.7603352993955397E-3</v>
      </c>
      <c r="BR43">
        <f t="shared" ca="1" si="31"/>
        <v>-9.7626838889103233E-3</v>
      </c>
      <c r="BS43">
        <f t="shared" ca="1" si="31"/>
        <v>-9.6193549870917678E-3</v>
      </c>
      <c r="BT43">
        <f t="shared" ca="1" si="31"/>
        <v>2.6693740550060288E-3</v>
      </c>
      <c r="BU43">
        <f t="shared" ca="1" si="31"/>
        <v>-4.1241644018558409E-4</v>
      </c>
      <c r="BV43">
        <f t="shared" ca="1" si="31"/>
        <v>-5.1318187997669669E-3</v>
      </c>
      <c r="BW43">
        <f t="shared" ca="1" si="31"/>
        <v>-1.5873047436119731E-3</v>
      </c>
      <c r="BX43">
        <f t="shared" ca="1" si="31"/>
        <v>-5.1651190570465855E-3</v>
      </c>
      <c r="BY43">
        <f t="shared" ca="1" si="30"/>
        <v>-2.9490118236244491E-3</v>
      </c>
      <c r="BZ43">
        <f t="shared" ca="1" si="30"/>
        <v>-5.3707021253532146E-3</v>
      </c>
      <c r="CA43">
        <f t="shared" ca="1" si="30"/>
        <v>2.9163973445390087E-3</v>
      </c>
      <c r="CB43">
        <f t="shared" ca="1" si="30"/>
        <v>2.5646552259783327E-4</v>
      </c>
      <c r="CC43">
        <f t="shared" ca="1" si="30"/>
        <v>1.5094716591813647E-3</v>
      </c>
      <c r="CD43">
        <f t="shared" ca="1" si="30"/>
        <v>5.0108955976006751E-3</v>
      </c>
      <c r="CE43">
        <f t="shared" ca="1" si="30"/>
        <v>1.1307819107062534E-3</v>
      </c>
      <c r="CF43">
        <f t="shared" ca="1" si="30"/>
        <v>-4.7233140418085065E-3</v>
      </c>
      <c r="CG43">
        <f t="shared" ca="1" si="30"/>
        <v>3.6834592503765086E-3</v>
      </c>
      <c r="CH43">
        <f t="shared" ca="1" si="30"/>
        <v>6.5168266325821827E-3</v>
      </c>
      <c r="CI43">
        <f t="shared" ca="1" si="30"/>
        <v>9.2390540183023336E-3</v>
      </c>
      <c r="CJ43">
        <f t="shared" ca="1" si="30"/>
        <v>1.3168972624294239E-2</v>
      </c>
      <c r="CK43">
        <f t="shared" ca="1" si="30"/>
        <v>-5.3913126795730936E-3</v>
      </c>
      <c r="CL43">
        <f t="shared" ca="1" si="30"/>
        <v>-1.0420409820875979E-2</v>
      </c>
      <c r="CM43">
        <f t="shared" ca="1" si="30"/>
        <v>2.4425616475369245E-3</v>
      </c>
      <c r="CN43">
        <f t="shared" ca="1" si="30"/>
        <v>8.8076873487945226E-3</v>
      </c>
      <c r="CO43">
        <f t="shared" ca="1" si="30"/>
        <v>-7.0502900205898856E-3</v>
      </c>
      <c r="CP43">
        <f t="shared" ca="1" si="30"/>
        <v>-5.4379123280940325E-3</v>
      </c>
      <c r="CQ43">
        <f t="shared" ca="1" si="30"/>
        <v>5.3589904076469779E-3</v>
      </c>
      <c r="CR43">
        <f t="shared" ca="1" si="30"/>
        <v>-5.8545734022687427E-3</v>
      </c>
      <c r="CS43">
        <f t="shared" ca="1" si="30"/>
        <v>1.5300479482320333E-3</v>
      </c>
      <c r="CT43">
        <f t="shared" ca="1" si="30"/>
        <v>-1.0336595531406936E-2</v>
      </c>
      <c r="CU43">
        <f t="shared" ca="1" si="30"/>
        <v>8.9707998669383109E-3</v>
      </c>
      <c r="CV43">
        <f t="shared" ca="1" si="30"/>
        <v>-8.1357201734580751E-3</v>
      </c>
      <c r="CW43">
        <f t="shared" ca="1" si="30"/>
        <v>-5.3874023025221327E-3</v>
      </c>
      <c r="CX43">
        <f t="shared" ca="1" si="30"/>
        <v>-4.3889312020239466E-3</v>
      </c>
      <c r="CY43">
        <f t="shared" ca="1" si="30"/>
        <v>-8.0956178085954192E-3</v>
      </c>
      <c r="CZ43">
        <f t="shared" ca="1" si="30"/>
        <v>3.3845315993889687E-3</v>
      </c>
      <c r="DA43">
        <f t="shared" ca="1" si="30"/>
        <v>-7.5320737390033431E-3</v>
      </c>
      <c r="DB43">
        <f t="shared" ca="1" si="30"/>
        <v>-6.1010835243498001E-4</v>
      </c>
      <c r="DC43">
        <f t="shared" ca="1" si="30"/>
        <v>-4.0796990978195632E-3</v>
      </c>
      <c r="DD43">
        <f t="shared" ca="1" si="30"/>
        <v>-6.688226050006543E-4</v>
      </c>
      <c r="DE43">
        <f t="shared" ca="1" si="30"/>
        <v>2.890082765091069E-3</v>
      </c>
      <c r="DF43">
        <f t="shared" ca="1" si="30"/>
        <v>-9.9036579137757874E-3</v>
      </c>
      <c r="DG43">
        <f t="shared" ca="1" si="30"/>
        <v>8.023279207195538E-3</v>
      </c>
    </row>
    <row r="44" spans="1:111">
      <c r="A44" s="2">
        <v>45987</v>
      </c>
      <c r="B44">
        <v>276.79656982421881</v>
      </c>
      <c r="C44">
        <f t="shared" si="0"/>
        <v>9.0845994988230554E-4</v>
      </c>
      <c r="J44">
        <v>8</v>
      </c>
      <c r="K44">
        <f t="shared" si="28"/>
        <v>0</v>
      </c>
      <c r="L44">
        <f t="shared" ca="1" si="27"/>
        <v>-3.7235723948416594E-3</v>
      </c>
      <c r="M44">
        <f t="shared" ca="1" si="31"/>
        <v>4.8010542553776937E-3</v>
      </c>
      <c r="N44">
        <f t="shared" ca="1" si="31"/>
        <v>4.899410574066382E-3</v>
      </c>
      <c r="O44">
        <f t="shared" ca="1" si="31"/>
        <v>-1.2244120004343793E-3</v>
      </c>
      <c r="P44">
        <f t="shared" ca="1" si="31"/>
        <v>-2.1743400488857634E-3</v>
      </c>
      <c r="Q44">
        <f t="shared" ca="1" si="31"/>
        <v>8.2658506813243753E-4</v>
      </c>
      <c r="R44">
        <f t="shared" ca="1" si="31"/>
        <v>-6.8330998972121158E-3</v>
      </c>
      <c r="S44">
        <f t="shared" ca="1" si="31"/>
        <v>9.1493299994187889E-4</v>
      </c>
      <c r="T44">
        <f t="shared" ca="1" si="31"/>
        <v>2.2294124914521017E-3</v>
      </c>
      <c r="U44">
        <f t="shared" ca="1" si="31"/>
        <v>6.1602358099486628E-3</v>
      </c>
      <c r="V44">
        <f t="shared" ca="1" si="31"/>
        <v>-1.8824315154669321E-3</v>
      </c>
      <c r="W44">
        <f t="shared" ca="1" si="31"/>
        <v>-2.8714589472188926E-3</v>
      </c>
      <c r="X44">
        <f t="shared" ca="1" si="31"/>
        <v>1.8151015782693696E-3</v>
      </c>
      <c r="Y44">
        <f t="shared" ca="1" si="31"/>
        <v>-1.2299244999947246E-2</v>
      </c>
      <c r="Z44">
        <f t="shared" ca="1" si="31"/>
        <v>-5.5433420101398711E-4</v>
      </c>
      <c r="AA44">
        <f t="shared" ca="1" si="31"/>
        <v>-5.2120257708650284E-3</v>
      </c>
      <c r="AB44">
        <f t="shared" ca="1" si="31"/>
        <v>-1.2549381325236125E-3</v>
      </c>
      <c r="AC44">
        <f t="shared" ca="1" si="31"/>
        <v>2.9997827692248239E-3</v>
      </c>
      <c r="AD44">
        <f t="shared" ca="1" si="31"/>
        <v>-3.38075503403418E-3</v>
      </c>
      <c r="AE44">
        <f t="shared" ca="1" si="31"/>
        <v>5.9753274530039598E-3</v>
      </c>
      <c r="AF44">
        <f t="shared" ca="1" si="31"/>
        <v>-6.1402427651123873E-3</v>
      </c>
      <c r="AG44">
        <f t="shared" ca="1" si="31"/>
        <v>-1.9849324133517556E-3</v>
      </c>
      <c r="AH44">
        <f t="shared" ca="1" si="31"/>
        <v>6.7337433824267703E-3</v>
      </c>
      <c r="AI44">
        <f t="shared" ca="1" si="31"/>
        <v>3.8045583224025075E-3</v>
      </c>
      <c r="AJ44">
        <f t="shared" ca="1" si="31"/>
        <v>4.5062469687172464E-3</v>
      </c>
      <c r="AK44">
        <f t="shared" ca="1" si="31"/>
        <v>-4.2819670642197877E-3</v>
      </c>
      <c r="AL44">
        <f t="shared" ca="1" si="31"/>
        <v>-6.8645394205745745E-3</v>
      </c>
      <c r="AM44">
        <f t="shared" ca="1" si="31"/>
        <v>1.4815699803729563E-3</v>
      </c>
      <c r="AN44">
        <f t="shared" ca="1" si="31"/>
        <v>-2.8870297291488261E-3</v>
      </c>
      <c r="AO44">
        <f t="shared" ca="1" si="31"/>
        <v>6.1211601150753412E-3</v>
      </c>
      <c r="AP44">
        <f t="shared" ca="1" si="31"/>
        <v>-1.1630545166837199E-2</v>
      </c>
      <c r="AQ44">
        <f t="shared" ca="1" si="31"/>
        <v>3.6005311493240511E-3</v>
      </c>
      <c r="AR44">
        <f t="shared" ca="1" si="31"/>
        <v>6.4307729488239534E-4</v>
      </c>
      <c r="AS44">
        <f t="shared" ca="1" si="31"/>
        <v>-5.5874692813876903E-3</v>
      </c>
      <c r="AT44">
        <f t="shared" ca="1" si="31"/>
        <v>-7.1968890071336987E-3</v>
      </c>
      <c r="AU44">
        <f t="shared" ca="1" si="31"/>
        <v>1.8957436470892074E-3</v>
      </c>
      <c r="AV44">
        <f t="shared" ca="1" si="31"/>
        <v>6.677400678132629E-3</v>
      </c>
      <c r="AW44">
        <f t="shared" ca="1" si="31"/>
        <v>1.4293534733303672E-4</v>
      </c>
      <c r="AX44">
        <f t="shared" ca="1" si="31"/>
        <v>1.0730474220334914E-3</v>
      </c>
      <c r="AY44">
        <f t="shared" ca="1" si="31"/>
        <v>-4.6657127418981313E-3</v>
      </c>
      <c r="AZ44">
        <f t="shared" ca="1" si="31"/>
        <v>6.5607586327463821E-3</v>
      </c>
      <c r="BA44">
        <f t="shared" ca="1" si="31"/>
        <v>7.9363463365643566E-3</v>
      </c>
      <c r="BB44">
        <f t="shared" ca="1" si="31"/>
        <v>-5.3012789865783602E-3</v>
      </c>
      <c r="BC44">
        <f t="shared" ca="1" si="31"/>
        <v>5.9124191091209722E-4</v>
      </c>
      <c r="BD44">
        <f t="shared" ca="1" si="31"/>
        <v>6.1771660162479721E-3</v>
      </c>
      <c r="BE44">
        <f t="shared" ca="1" si="31"/>
        <v>3.8081311799628777E-3</v>
      </c>
      <c r="BF44">
        <f t="shared" ca="1" si="31"/>
        <v>6.3164179251646215E-3</v>
      </c>
      <c r="BG44">
        <f t="shared" ca="1" si="31"/>
        <v>9.4952386542281487E-3</v>
      </c>
      <c r="BH44">
        <f t="shared" ca="1" si="31"/>
        <v>-6.3039286374692322E-3</v>
      </c>
      <c r="BI44">
        <f t="shared" ca="1" si="31"/>
        <v>-2.6214445003938788E-3</v>
      </c>
      <c r="BJ44">
        <f t="shared" ca="1" si="31"/>
        <v>1.4569696343203786E-3</v>
      </c>
      <c r="BK44">
        <f t="shared" ca="1" si="31"/>
        <v>6.7197954546073732E-3</v>
      </c>
      <c r="BL44">
        <f t="shared" ca="1" si="31"/>
        <v>-1.0346625982318879E-2</v>
      </c>
      <c r="BM44">
        <f t="shared" ca="1" si="31"/>
        <v>-1.9495409166492717E-3</v>
      </c>
      <c r="BN44">
        <f t="shared" ca="1" si="31"/>
        <v>2.6410304076576632E-3</v>
      </c>
      <c r="BO44">
        <f t="shared" ca="1" si="31"/>
        <v>-9.0929971459570956E-3</v>
      </c>
      <c r="BP44">
        <f t="shared" ca="1" si="31"/>
        <v>1.1847315348308339E-2</v>
      </c>
      <c r="BQ44">
        <f t="shared" ca="1" si="31"/>
        <v>2.8261818712836317E-3</v>
      </c>
      <c r="BR44">
        <f t="shared" ca="1" si="31"/>
        <v>-1.0082042878230611E-2</v>
      </c>
      <c r="BS44">
        <f t="shared" ca="1" si="31"/>
        <v>1.1751021942929979E-2</v>
      </c>
      <c r="BT44">
        <f t="shared" ca="1" si="31"/>
        <v>9.7643937246575025E-4</v>
      </c>
      <c r="BU44">
        <f t="shared" ca="1" si="31"/>
        <v>-4.0000806496498318E-3</v>
      </c>
      <c r="BV44">
        <f t="shared" ca="1" si="31"/>
        <v>2.1735079665775713E-2</v>
      </c>
      <c r="BW44">
        <f t="shared" ca="1" si="31"/>
        <v>-4.0468191866332758E-3</v>
      </c>
      <c r="BX44">
        <f t="shared" ca="1" si="31"/>
        <v>1.8414924097912331E-4</v>
      </c>
      <c r="BY44">
        <f t="shared" ca="1" si="30"/>
        <v>-1.1659255544159121E-2</v>
      </c>
      <c r="BZ44">
        <f t="shared" ca="1" si="30"/>
        <v>1.1617102144033475E-4</v>
      </c>
      <c r="CA44">
        <f t="shared" ca="1" si="30"/>
        <v>-1.5997082181893186E-3</v>
      </c>
      <c r="CB44">
        <f t="shared" ca="1" si="30"/>
        <v>1.2709221640765165E-2</v>
      </c>
      <c r="CC44">
        <f t="shared" ca="1" si="30"/>
        <v>-8.0534704790126768E-3</v>
      </c>
      <c r="CD44">
        <f t="shared" ca="1" si="30"/>
        <v>1.0237196821651862E-2</v>
      </c>
      <c r="CE44">
        <f t="shared" ca="1" si="30"/>
        <v>4.1973361559984584E-3</v>
      </c>
      <c r="CF44">
        <f t="shared" ca="1" si="30"/>
        <v>-3.2173420473911151E-3</v>
      </c>
      <c r="CG44">
        <f t="shared" ca="1" si="30"/>
        <v>-5.1306524012484506E-3</v>
      </c>
      <c r="CH44">
        <f t="shared" ca="1" si="30"/>
        <v>3.3297654504877566E-3</v>
      </c>
      <c r="CI44">
        <f t="shared" ca="1" si="30"/>
        <v>-6.4491598466813642E-3</v>
      </c>
      <c r="CJ44">
        <f t="shared" ca="1" si="30"/>
        <v>-1.7974981202514993E-3</v>
      </c>
      <c r="CK44">
        <f t="shared" ca="1" si="30"/>
        <v>7.2901971346194736E-3</v>
      </c>
      <c r="CL44">
        <f t="shared" ca="1" si="30"/>
        <v>-3.297331796934885E-3</v>
      </c>
      <c r="CM44">
        <f t="shared" ca="1" si="30"/>
        <v>1.1204741650148819E-2</v>
      </c>
      <c r="CN44">
        <f t="shared" ca="1" si="30"/>
        <v>-2.0208494170213583E-3</v>
      </c>
      <c r="CO44">
        <f t="shared" ca="1" si="30"/>
        <v>-1.2794291558410407E-3</v>
      </c>
      <c r="CP44">
        <f t="shared" ca="1" si="30"/>
        <v>-1.3502792476549376E-2</v>
      </c>
      <c r="CQ44">
        <f t="shared" ca="1" si="30"/>
        <v>-5.2774824441866146E-3</v>
      </c>
      <c r="CR44">
        <f t="shared" ca="1" si="30"/>
        <v>2.4152834333899336E-3</v>
      </c>
      <c r="CS44">
        <f t="shared" ca="1" si="30"/>
        <v>1.0898414509832194E-2</v>
      </c>
      <c r="CT44">
        <f t="shared" ca="1" si="30"/>
        <v>8.5745094998127113E-3</v>
      </c>
      <c r="CU44">
        <f t="shared" ca="1" si="30"/>
        <v>-3.9079214913657042E-3</v>
      </c>
      <c r="CV44">
        <f t="shared" ca="1" si="30"/>
        <v>3.9624760360984787E-3</v>
      </c>
      <c r="CW44">
        <f t="shared" ca="1" si="30"/>
        <v>-8.1644104094383742E-3</v>
      </c>
      <c r="CX44">
        <f t="shared" ca="1" si="30"/>
        <v>5.4984080914285572E-3</v>
      </c>
      <c r="CY44">
        <f t="shared" ca="1" si="30"/>
        <v>-8.9490296780225245E-5</v>
      </c>
      <c r="CZ44">
        <f t="shared" ca="1" si="30"/>
        <v>4.269709575937238E-3</v>
      </c>
      <c r="DA44">
        <f t="shared" ca="1" si="30"/>
        <v>-2.2296781417128521E-3</v>
      </c>
      <c r="DB44">
        <f t="shared" ca="1" si="30"/>
        <v>4.3327100517850633E-3</v>
      </c>
      <c r="DC44">
        <f t="shared" ca="1" si="30"/>
        <v>4.6976156556645318E-3</v>
      </c>
      <c r="DD44">
        <f t="shared" ca="1" si="30"/>
        <v>1.1725995294161536E-3</v>
      </c>
      <c r="DE44">
        <f t="shared" ca="1" si="30"/>
        <v>6.8472883433609176E-4</v>
      </c>
      <c r="DF44">
        <f t="shared" ca="1" si="30"/>
        <v>-4.3659512842496419E-3</v>
      </c>
      <c r="DG44">
        <f t="shared" ca="1" si="30"/>
        <v>-5.0215602910294319E-3</v>
      </c>
    </row>
    <row r="45" spans="1:111">
      <c r="A45" s="2">
        <v>45989</v>
      </c>
      <c r="B45">
        <v>278.09304809570313</v>
      </c>
      <c r="C45">
        <f t="shared" si="0"/>
        <v>2.0294284326546341E-3</v>
      </c>
      <c r="J45">
        <v>9</v>
      </c>
      <c r="K45">
        <f t="shared" si="28"/>
        <v>0</v>
      </c>
      <c r="L45">
        <f t="shared" ca="1" si="27"/>
        <v>-1.260982613498691E-3</v>
      </c>
      <c r="M45">
        <f t="shared" ca="1" si="31"/>
        <v>-1.5413205014446364E-3</v>
      </c>
      <c r="N45">
        <f t="shared" ca="1" si="31"/>
        <v>-8.4801531062415319E-3</v>
      </c>
      <c r="O45">
        <f t="shared" ca="1" si="31"/>
        <v>-3.9771958133998347E-3</v>
      </c>
      <c r="P45">
        <f t="shared" ca="1" si="31"/>
        <v>4.2844648864635267E-3</v>
      </c>
      <c r="Q45">
        <f t="shared" ca="1" si="31"/>
        <v>4.6228421479426905E-3</v>
      </c>
      <c r="R45">
        <f t="shared" ca="1" si="31"/>
        <v>1.5860938761494778E-2</v>
      </c>
      <c r="S45">
        <f t="shared" ca="1" si="31"/>
        <v>-1.5097984378846488E-3</v>
      </c>
      <c r="T45">
        <f t="shared" ca="1" si="31"/>
        <v>5.0575979116897155E-3</v>
      </c>
      <c r="U45">
        <f t="shared" ca="1" si="31"/>
        <v>-5.2316635822075722E-3</v>
      </c>
      <c r="V45">
        <f t="shared" ca="1" si="31"/>
        <v>1.1796285138037683E-3</v>
      </c>
      <c r="W45">
        <f t="shared" ca="1" si="31"/>
        <v>-4.1296729283901143E-4</v>
      </c>
      <c r="X45">
        <f t="shared" ca="1" si="31"/>
        <v>1.7473458830308574E-3</v>
      </c>
      <c r="Y45">
        <f t="shared" ca="1" si="31"/>
        <v>-8.7060514424590094E-5</v>
      </c>
      <c r="Z45">
        <f t="shared" ca="1" si="31"/>
        <v>-2.4657123386279387E-3</v>
      </c>
      <c r="AA45">
        <f t="shared" ca="1" si="31"/>
        <v>7.5837438711633736E-3</v>
      </c>
      <c r="AB45">
        <f t="shared" ca="1" si="31"/>
        <v>4.1175843346897661E-4</v>
      </c>
      <c r="AC45">
        <f t="shared" ca="1" si="31"/>
        <v>-2.338441271103909E-3</v>
      </c>
      <c r="AD45">
        <f t="shared" ca="1" si="31"/>
        <v>2.1298864040785815E-3</v>
      </c>
      <c r="AE45">
        <f t="shared" ca="1" si="31"/>
        <v>-2.6878529941562869E-3</v>
      </c>
      <c r="AF45">
        <f t="shared" ca="1" si="31"/>
        <v>-1.6353862152703419E-3</v>
      </c>
      <c r="AG45">
        <f t="shared" ca="1" si="31"/>
        <v>-5.865033559757267E-3</v>
      </c>
      <c r="AH45">
        <f t="shared" ca="1" si="31"/>
        <v>-6.4022896725901763E-4</v>
      </c>
      <c r="AI45">
        <f t="shared" ca="1" si="31"/>
        <v>1.3491619110476091E-3</v>
      </c>
      <c r="AJ45">
        <f t="shared" ca="1" si="31"/>
        <v>-8.1933399333102876E-3</v>
      </c>
      <c r="AK45">
        <f t="shared" ca="1" si="31"/>
        <v>1.812457647086544E-3</v>
      </c>
      <c r="AL45">
        <f t="shared" ca="1" si="31"/>
        <v>1.8285182980044498E-4</v>
      </c>
      <c r="AM45">
        <f t="shared" ca="1" si="31"/>
        <v>-8.7344539019177574E-4</v>
      </c>
      <c r="AN45">
        <f t="shared" ca="1" si="31"/>
        <v>1.7503912981266898E-3</v>
      </c>
      <c r="AO45">
        <f t="shared" ca="1" si="31"/>
        <v>-1.1111244598225167E-2</v>
      </c>
      <c r="AP45">
        <f t="shared" ca="1" si="31"/>
        <v>1.3647317922721083E-3</v>
      </c>
      <c r="AQ45">
        <f t="shared" ca="1" si="31"/>
        <v>-1.4054087481849439E-2</v>
      </c>
      <c r="AR45">
        <f t="shared" ca="1" si="31"/>
        <v>-1.4841085976185176E-2</v>
      </c>
      <c r="AS45">
        <f t="shared" ca="1" si="31"/>
        <v>1.1838335318209142E-2</v>
      </c>
      <c r="AT45">
        <f t="shared" ca="1" si="31"/>
        <v>-5.6916442700914996E-3</v>
      </c>
      <c r="AU45">
        <f t="shared" ca="1" si="31"/>
        <v>8.3703937796405104E-3</v>
      </c>
      <c r="AV45">
        <f t="shared" ca="1" si="31"/>
        <v>-9.9638413640303139E-3</v>
      </c>
      <c r="AW45">
        <f t="shared" ca="1" si="31"/>
        <v>-2.7675674250225175E-3</v>
      </c>
      <c r="AX45">
        <f t="shared" ca="1" si="31"/>
        <v>2.3405568384272713E-3</v>
      </c>
      <c r="AY45">
        <f t="shared" ca="1" si="31"/>
        <v>1.2276199661384328E-3</v>
      </c>
      <c r="AZ45">
        <f t="shared" ca="1" si="31"/>
        <v>-9.6405760141358137E-3</v>
      </c>
      <c r="BA45">
        <f t="shared" ca="1" si="31"/>
        <v>-7.8119727022069223E-3</v>
      </c>
      <c r="BB45">
        <f t="shared" ca="1" si="31"/>
        <v>7.1277930605706721E-3</v>
      </c>
      <c r="BC45">
        <f t="shared" ca="1" si="31"/>
        <v>-9.8465216661642353E-3</v>
      </c>
      <c r="BD45">
        <f t="shared" ca="1" si="31"/>
        <v>5.1093462616470546E-3</v>
      </c>
      <c r="BE45">
        <f t="shared" ca="1" si="31"/>
        <v>8.7884925669716452E-3</v>
      </c>
      <c r="BF45">
        <f t="shared" ca="1" si="31"/>
        <v>-9.5923379560954036E-3</v>
      </c>
      <c r="BG45">
        <f t="shared" ca="1" si="31"/>
        <v>-1.7168008342288519E-3</v>
      </c>
      <c r="BH45">
        <f t="shared" ca="1" si="31"/>
        <v>-3.8623601056563743E-4</v>
      </c>
      <c r="BI45">
        <f t="shared" ca="1" si="31"/>
        <v>-4.8950498979568741E-3</v>
      </c>
      <c r="BJ45">
        <f t="shared" ca="1" si="31"/>
        <v>6.6115766614944084E-4</v>
      </c>
      <c r="BK45">
        <f t="shared" ca="1" si="31"/>
        <v>-1.1204041214232508E-2</v>
      </c>
      <c r="BL45">
        <f t="shared" ca="1" si="31"/>
        <v>-6.2369837494783168E-3</v>
      </c>
      <c r="BM45">
        <f t="shared" ca="1" si="31"/>
        <v>1.8376037262894985E-3</v>
      </c>
      <c r="BN45">
        <f t="shared" ca="1" si="31"/>
        <v>-9.4742568142340278E-3</v>
      </c>
      <c r="BO45">
        <f t="shared" ca="1" si="31"/>
        <v>-1.1711964232840768E-2</v>
      </c>
      <c r="BP45">
        <f t="shared" ca="1" si="31"/>
        <v>4.4943916612804205E-3</v>
      </c>
      <c r="BQ45">
        <f t="shared" ca="1" si="31"/>
        <v>-1.1380207860849735E-2</v>
      </c>
      <c r="BR45">
        <f t="shared" ca="1" si="31"/>
        <v>2.9138884125262544E-3</v>
      </c>
      <c r="BS45">
        <f t="shared" ca="1" si="31"/>
        <v>3.2227946478848766E-3</v>
      </c>
      <c r="BT45">
        <f t="shared" ca="1" si="31"/>
        <v>3.5435938701277874E-3</v>
      </c>
      <c r="BU45">
        <f t="shared" ca="1" si="31"/>
        <v>9.2930408636923505E-4</v>
      </c>
      <c r="BV45">
        <f t="shared" ca="1" si="31"/>
        <v>3.0050295449681593E-3</v>
      </c>
      <c r="BW45">
        <f t="shared" ca="1" si="31"/>
        <v>-2.6909722291152522E-3</v>
      </c>
      <c r="BX45">
        <f t="shared" ca="1" si="31"/>
        <v>1.5377634776778904E-3</v>
      </c>
      <c r="BY45">
        <f t="shared" ca="1" si="30"/>
        <v>9.786700894854802E-3</v>
      </c>
      <c r="BZ45">
        <f t="shared" ca="1" si="30"/>
        <v>-1.8057205716157904E-2</v>
      </c>
      <c r="CA45">
        <f t="shared" ca="1" si="30"/>
        <v>-7.5910813476591388E-3</v>
      </c>
      <c r="CB45">
        <f t="shared" ca="1" si="30"/>
        <v>2.1315921888579634E-3</v>
      </c>
      <c r="CC45">
        <f t="shared" ca="1" si="30"/>
        <v>-5.6577805251750517E-4</v>
      </c>
      <c r="CD45">
        <f t="shared" ca="1" si="30"/>
        <v>4.5187507151242777E-3</v>
      </c>
      <c r="CE45">
        <f t="shared" ca="1" si="30"/>
        <v>6.1690330772454054E-3</v>
      </c>
      <c r="CF45">
        <f t="shared" ca="1" si="30"/>
        <v>1.6186701659539327E-3</v>
      </c>
      <c r="CG45">
        <f t="shared" ca="1" si="30"/>
        <v>-1.1612982128011077E-2</v>
      </c>
      <c r="CH45">
        <f t="shared" ca="1" si="30"/>
        <v>-4.268248794883433E-3</v>
      </c>
      <c r="CI45">
        <f t="shared" ca="1" si="30"/>
        <v>8.3698961790102111E-3</v>
      </c>
      <c r="CJ45">
        <f t="shared" ca="1" si="30"/>
        <v>5.6924518379010518E-3</v>
      </c>
      <c r="CK45">
        <f t="shared" ca="1" si="30"/>
        <v>6.9074748964911937E-5</v>
      </c>
      <c r="CL45">
        <f t="shared" ca="1" si="30"/>
        <v>1.7928788964080927E-2</v>
      </c>
      <c r="CM45">
        <f t="shared" ca="1" si="30"/>
        <v>-1.8378237542457764E-4</v>
      </c>
      <c r="CN45">
        <f t="shared" ca="1" si="30"/>
        <v>1.4415858040561196E-3</v>
      </c>
      <c r="CO45">
        <f t="shared" ca="1" si="30"/>
        <v>-1.6411565906214365E-3</v>
      </c>
      <c r="CP45">
        <f t="shared" ca="1" si="30"/>
        <v>-3.5027866069781196E-3</v>
      </c>
      <c r="CQ45">
        <f t="shared" ca="1" si="30"/>
        <v>5.2271919085755047E-3</v>
      </c>
      <c r="CR45">
        <f t="shared" ca="1" si="30"/>
        <v>-2.35289281388854E-3</v>
      </c>
      <c r="CS45">
        <f t="shared" ca="1" si="30"/>
        <v>-5.3918554033259725E-3</v>
      </c>
      <c r="CT45">
        <f t="shared" ca="1" si="30"/>
        <v>-5.0389953183543727E-4</v>
      </c>
      <c r="CU45">
        <f t="shared" ca="1" si="30"/>
        <v>-2.6753733787352914E-3</v>
      </c>
      <c r="CV45">
        <f t="shared" ca="1" si="30"/>
        <v>6.3363829735531051E-3</v>
      </c>
      <c r="CW45">
        <f t="shared" ca="1" si="30"/>
        <v>-1.8029691615916545E-3</v>
      </c>
      <c r="CX45">
        <f t="shared" ca="1" si="30"/>
        <v>-3.0961624149175413E-3</v>
      </c>
      <c r="CY45">
        <f t="shared" ca="1" si="30"/>
        <v>-3.1626243874863826E-3</v>
      </c>
      <c r="CZ45">
        <f t="shared" ca="1" si="30"/>
        <v>3.8417952547381146E-3</v>
      </c>
      <c r="DA45">
        <f t="shared" ca="1" si="30"/>
        <v>1.7292932411050089E-5</v>
      </c>
      <c r="DB45">
        <f t="shared" ca="1" si="30"/>
        <v>8.0449873633256022E-3</v>
      </c>
      <c r="DC45">
        <f t="shared" ca="1" si="30"/>
        <v>1.3590317937837177E-2</v>
      </c>
      <c r="DD45">
        <f t="shared" ca="1" si="30"/>
        <v>-4.0580828595566517E-3</v>
      </c>
      <c r="DE45">
        <f t="shared" ca="1" si="30"/>
        <v>5.982403097831581E-4</v>
      </c>
      <c r="DF45">
        <f t="shared" ca="1" si="30"/>
        <v>-6.9320145914510333E-3</v>
      </c>
      <c r="DG45">
        <f t="shared" ca="1" si="30"/>
        <v>-1.9713500207116826E-3</v>
      </c>
    </row>
    <row r="46" spans="1:111">
      <c r="A46" s="2">
        <v>45992</v>
      </c>
      <c r="B46">
        <v>282.33151245117188</v>
      </c>
      <c r="C46">
        <f t="shared" si="0"/>
        <v>6.5692223640839188E-3</v>
      </c>
      <c r="J46">
        <v>10</v>
      </c>
      <c r="K46">
        <f t="shared" si="28"/>
        <v>0</v>
      </c>
      <c r="L46">
        <f t="shared" ca="1" si="27"/>
        <v>-3.9287990842304816E-5</v>
      </c>
      <c r="M46">
        <f t="shared" ca="1" si="31"/>
        <v>5.5236034200378831E-3</v>
      </c>
      <c r="N46">
        <f t="shared" ca="1" si="31"/>
        <v>-7.4154138936349172E-4</v>
      </c>
      <c r="O46">
        <f t="shared" ca="1" si="31"/>
        <v>-1.004666789283022E-2</v>
      </c>
      <c r="P46">
        <f t="shared" ca="1" si="31"/>
        <v>-1.2516138081558599E-3</v>
      </c>
      <c r="Q46">
        <f t="shared" ca="1" si="31"/>
        <v>1.699901019667088E-3</v>
      </c>
      <c r="R46">
        <f t="shared" ca="1" si="31"/>
        <v>8.4216314631692483E-3</v>
      </c>
      <c r="S46">
        <f t="shared" ca="1" si="31"/>
        <v>-6.2027301554545486E-4</v>
      </c>
      <c r="T46">
        <f t="shared" ca="1" si="31"/>
        <v>9.6121911100238992E-4</v>
      </c>
      <c r="U46">
        <f t="shared" ca="1" si="31"/>
        <v>6.9827914729757674E-3</v>
      </c>
      <c r="V46">
        <f t="shared" ca="1" si="31"/>
        <v>-3.5779188120613199E-3</v>
      </c>
      <c r="W46">
        <f t="shared" ca="1" si="31"/>
        <v>-7.162060317058614E-4</v>
      </c>
      <c r="X46">
        <f t="shared" ca="1" si="31"/>
        <v>1.9189583802653755E-4</v>
      </c>
      <c r="Y46">
        <f t="shared" ca="1" si="31"/>
        <v>4.8066277961676245E-4</v>
      </c>
      <c r="Z46">
        <f t="shared" ca="1" si="31"/>
        <v>9.5650142715877889E-3</v>
      </c>
      <c r="AA46">
        <f t="shared" ca="1" si="31"/>
        <v>1.3519767046028764E-2</v>
      </c>
      <c r="AB46">
        <f t="shared" ca="1" si="31"/>
        <v>-7.0710859376565318E-3</v>
      </c>
      <c r="AC46">
        <f t="shared" ca="1" si="31"/>
        <v>-5.7892191142466251E-3</v>
      </c>
      <c r="AD46">
        <f t="shared" ca="1" si="31"/>
        <v>-1.3645181183089138E-3</v>
      </c>
      <c r="AE46">
        <f t="shared" ca="1" si="31"/>
        <v>3.8501725114559507E-3</v>
      </c>
      <c r="AF46">
        <f t="shared" ca="1" si="31"/>
        <v>2.8365080382099657E-3</v>
      </c>
      <c r="AG46">
        <f t="shared" ca="1" si="31"/>
        <v>1.3912174258469321E-3</v>
      </c>
      <c r="AH46">
        <f t="shared" ca="1" si="31"/>
        <v>1.0856527369666342E-2</v>
      </c>
      <c r="AI46">
        <f t="shared" ca="1" si="31"/>
        <v>-2.4646634307115911E-3</v>
      </c>
      <c r="AJ46">
        <f t="shared" ca="1" si="31"/>
        <v>-3.3265760803355745E-3</v>
      </c>
      <c r="AK46">
        <f t="shared" ca="1" si="31"/>
        <v>-5.3796628953956295E-3</v>
      </c>
      <c r="AL46">
        <f t="shared" ca="1" si="31"/>
        <v>8.5850883079623685E-3</v>
      </c>
      <c r="AM46">
        <f t="shared" ca="1" si="31"/>
        <v>-1.7727058175866688E-3</v>
      </c>
      <c r="AN46">
        <f t="shared" ca="1" si="31"/>
        <v>-6.5009675417557937E-3</v>
      </c>
      <c r="AO46">
        <f t="shared" ca="1" si="31"/>
        <v>-1.2514133807768099E-2</v>
      </c>
      <c r="AP46">
        <f t="shared" ca="1" si="31"/>
        <v>8.2555319438617058E-3</v>
      </c>
      <c r="AQ46">
        <f t="shared" ca="1" si="31"/>
        <v>-6.2645435264061062E-3</v>
      </c>
      <c r="AR46">
        <f t="shared" ca="1" si="31"/>
        <v>3.1199910630426266E-3</v>
      </c>
      <c r="AS46">
        <f t="shared" ca="1" si="31"/>
        <v>-1.4011620889677655E-2</v>
      </c>
      <c r="AT46">
        <f t="shared" ca="1" si="31"/>
        <v>1.140683902904752E-2</v>
      </c>
      <c r="AU46">
        <f t="shared" ca="1" si="31"/>
        <v>9.1706334491265841E-3</v>
      </c>
      <c r="AV46">
        <f t="shared" ca="1" si="31"/>
        <v>-1.4684147555312535E-2</v>
      </c>
      <c r="AW46">
        <f t="shared" ca="1" si="31"/>
        <v>3.4906657245009931E-3</v>
      </c>
      <c r="AX46">
        <f t="shared" ca="1" si="31"/>
        <v>2.6500737327491055E-3</v>
      </c>
      <c r="AY46">
        <f t="shared" ca="1" si="31"/>
        <v>-1.418193208978779E-2</v>
      </c>
      <c r="AZ46">
        <f t="shared" ca="1" si="31"/>
        <v>7.183411015885606E-3</v>
      </c>
      <c r="BA46">
        <f t="shared" ca="1" si="31"/>
        <v>-1.506215366440596E-3</v>
      </c>
      <c r="BB46">
        <f t="shared" ca="1" si="31"/>
        <v>-1.4546946881242726E-2</v>
      </c>
      <c r="BC46">
        <f t="shared" ca="1" si="31"/>
        <v>-1.6793459554601167E-2</v>
      </c>
      <c r="BD46">
        <f t="shared" ca="1" si="31"/>
        <v>3.9590847116425468E-3</v>
      </c>
      <c r="BE46">
        <f t="shared" ca="1" si="31"/>
        <v>4.4969404659733515E-3</v>
      </c>
      <c r="BF46">
        <f t="shared" ca="1" si="31"/>
        <v>3.9050573511674675E-3</v>
      </c>
      <c r="BG46">
        <f t="shared" ca="1" si="31"/>
        <v>2.2203594193280214E-3</v>
      </c>
      <c r="BH46">
        <f t="shared" ca="1" si="31"/>
        <v>3.4259358349993845E-3</v>
      </c>
      <c r="BI46">
        <f t="shared" ca="1" si="31"/>
        <v>7.7426605058976963E-3</v>
      </c>
      <c r="BJ46">
        <f t="shared" ca="1" si="31"/>
        <v>-4.424777055591393E-3</v>
      </c>
      <c r="BK46">
        <f t="shared" ca="1" si="31"/>
        <v>-7.3665929388974172E-4</v>
      </c>
      <c r="BL46">
        <f t="shared" ca="1" si="31"/>
        <v>-1.7278533633743126E-2</v>
      </c>
      <c r="BM46">
        <f t="shared" ca="1" si="31"/>
        <v>2.6016238047444898E-3</v>
      </c>
      <c r="BN46">
        <f t="shared" ca="1" si="31"/>
        <v>1.7676788704163269E-3</v>
      </c>
      <c r="BO46">
        <f t="shared" ca="1" si="31"/>
        <v>3.8271051775590754E-3</v>
      </c>
      <c r="BP46">
        <f t="shared" ca="1" si="31"/>
        <v>-2.0492574323185968E-3</v>
      </c>
      <c r="BQ46">
        <f t="shared" ca="1" si="31"/>
        <v>-7.0799359273117524E-3</v>
      </c>
      <c r="BR46">
        <f t="shared" ca="1" si="31"/>
        <v>-2.8529236176876756E-3</v>
      </c>
      <c r="BS46">
        <f t="shared" ca="1" si="31"/>
        <v>-4.8211921466722119E-3</v>
      </c>
      <c r="BT46">
        <f t="shared" ca="1" si="31"/>
        <v>8.7964830957706248E-3</v>
      </c>
      <c r="BU46">
        <f t="shared" ca="1" si="31"/>
        <v>-5.7945047643827557E-3</v>
      </c>
      <c r="BV46">
        <f t="shared" ca="1" si="31"/>
        <v>-4.6369059821474911E-3</v>
      </c>
      <c r="BW46">
        <f t="shared" ca="1" si="31"/>
        <v>-7.720258414287362E-3</v>
      </c>
      <c r="BX46">
        <f t="shared" ref="BX46:DG46" ca="1" si="32">$G$5*$G$11*NORMSINV(RAND())</f>
        <v>3.6295775031966693E-4</v>
      </c>
      <c r="BY46">
        <f t="shared" ca="1" si="32"/>
        <v>-3.7606036948275821E-3</v>
      </c>
      <c r="BZ46">
        <f t="shared" ca="1" si="32"/>
        <v>-3.278952426875926E-4</v>
      </c>
      <c r="CA46">
        <f t="shared" ca="1" si="32"/>
        <v>-1.0118217671938183E-2</v>
      </c>
      <c r="CB46">
        <f t="shared" ca="1" si="32"/>
        <v>5.9817664824488512E-3</v>
      </c>
      <c r="CC46">
        <f t="shared" ca="1" si="32"/>
        <v>5.2487227264432284E-3</v>
      </c>
      <c r="CD46">
        <f t="shared" ca="1" si="32"/>
        <v>2.1365246725755203E-3</v>
      </c>
      <c r="CE46">
        <f t="shared" ca="1" si="32"/>
        <v>6.3410248120996824E-3</v>
      </c>
      <c r="CF46">
        <f t="shared" ca="1" si="32"/>
        <v>1.5687723586028971E-3</v>
      </c>
      <c r="CG46">
        <f t="shared" ca="1" si="32"/>
        <v>8.9610873528320374E-3</v>
      </c>
      <c r="CH46">
        <f t="shared" ca="1" si="32"/>
        <v>-6.6592889371757322E-3</v>
      </c>
      <c r="CI46">
        <f t="shared" ca="1" si="32"/>
        <v>-2.0950861499234191E-3</v>
      </c>
      <c r="CJ46">
        <f t="shared" ca="1" si="32"/>
        <v>-1.1824194438802964E-2</v>
      </c>
      <c r="CK46">
        <f t="shared" ca="1" si="32"/>
        <v>-1.2764670776238461E-2</v>
      </c>
      <c r="CL46">
        <f t="shared" ca="1" si="32"/>
        <v>7.4795531396548709E-3</v>
      </c>
      <c r="CM46">
        <f t="shared" ca="1" si="32"/>
        <v>1.1182903088655209E-2</v>
      </c>
      <c r="CN46">
        <f t="shared" ca="1" si="32"/>
        <v>-2.9591969411268417E-3</v>
      </c>
      <c r="CO46">
        <f t="shared" ca="1" si="32"/>
        <v>1.0966619239504734E-2</v>
      </c>
      <c r="CP46">
        <f t="shared" ca="1" si="32"/>
        <v>5.362799861938411E-3</v>
      </c>
      <c r="CQ46">
        <f t="shared" ca="1" si="32"/>
        <v>4.3200662797009716E-3</v>
      </c>
      <c r="CR46">
        <f t="shared" ca="1" si="32"/>
        <v>2.5243629215466925E-4</v>
      </c>
      <c r="CS46">
        <f t="shared" ca="1" si="32"/>
        <v>4.4169150923438257E-3</v>
      </c>
      <c r="CT46">
        <f t="shared" ca="1" si="32"/>
        <v>9.6788809518761343E-3</v>
      </c>
      <c r="CU46">
        <f t="shared" ca="1" si="32"/>
        <v>-2.0017178303348769E-3</v>
      </c>
      <c r="CV46">
        <f t="shared" ca="1" si="32"/>
        <v>-3.3560370983394417E-3</v>
      </c>
      <c r="CW46">
        <f t="shared" ca="1" si="32"/>
        <v>-7.5941163810936702E-3</v>
      </c>
      <c r="CX46">
        <f t="shared" ca="1" si="32"/>
        <v>-9.0167649848483869E-3</v>
      </c>
      <c r="CY46">
        <f t="shared" ca="1" si="32"/>
        <v>-4.3639991998777206E-3</v>
      </c>
      <c r="CZ46">
        <f t="shared" ca="1" si="32"/>
        <v>-3.861044093633228E-3</v>
      </c>
      <c r="DA46">
        <f t="shared" ca="1" si="32"/>
        <v>1.6034524187190544E-3</v>
      </c>
      <c r="DB46">
        <f t="shared" ca="1" si="32"/>
        <v>5.6764534833099447E-3</v>
      </c>
      <c r="DC46">
        <f t="shared" ca="1" si="32"/>
        <v>-4.1468802192319264E-3</v>
      </c>
      <c r="DD46">
        <f t="shared" ca="1" si="32"/>
        <v>-6.5869297564564236E-3</v>
      </c>
      <c r="DE46">
        <f t="shared" ca="1" si="32"/>
        <v>2.6604087046097429E-3</v>
      </c>
      <c r="DF46">
        <f t="shared" ca="1" si="32"/>
        <v>-4.7389389603807851E-3</v>
      </c>
      <c r="DG46">
        <f t="shared" ca="1" si="32"/>
        <v>-9.3121685783711088E-3</v>
      </c>
    </row>
    <row r="47" spans="1:111">
      <c r="A47" s="2">
        <v>45993</v>
      </c>
      <c r="B47">
        <v>285.41311645507813</v>
      </c>
      <c r="C47">
        <f t="shared" si="0"/>
        <v>4.71457302874105E-3</v>
      </c>
    </row>
    <row r="48" spans="1:111">
      <c r="A48" s="2">
        <v>45994</v>
      </c>
      <c r="B48">
        <v>283.378662109375</v>
      </c>
      <c r="C48">
        <f t="shared" si="0"/>
        <v>-3.1067821204792171E-3</v>
      </c>
      <c r="K48">
        <v>0</v>
      </c>
      <c r="L48">
        <v>1</v>
      </c>
      <c r="M48">
        <f>+L48+1</f>
        <v>2</v>
      </c>
      <c r="N48">
        <f t="shared" ref="N48:AK48" si="33">+M48+1</f>
        <v>3</v>
      </c>
      <c r="O48">
        <f t="shared" si="33"/>
        <v>4</v>
      </c>
      <c r="P48">
        <f t="shared" si="33"/>
        <v>5</v>
      </c>
      <c r="Q48">
        <f t="shared" si="33"/>
        <v>6</v>
      </c>
      <c r="R48">
        <f t="shared" si="33"/>
        <v>7</v>
      </c>
      <c r="S48">
        <f t="shared" si="33"/>
        <v>8</v>
      </c>
      <c r="T48">
        <f t="shared" si="33"/>
        <v>9</v>
      </c>
      <c r="U48">
        <f t="shared" si="33"/>
        <v>10</v>
      </c>
      <c r="V48">
        <f t="shared" si="33"/>
        <v>11</v>
      </c>
      <c r="W48">
        <f t="shared" si="33"/>
        <v>12</v>
      </c>
      <c r="X48">
        <f t="shared" si="33"/>
        <v>13</v>
      </c>
      <c r="Y48">
        <f t="shared" si="33"/>
        <v>14</v>
      </c>
      <c r="Z48">
        <f t="shared" si="33"/>
        <v>15</v>
      </c>
      <c r="AA48">
        <f t="shared" si="33"/>
        <v>16</v>
      </c>
      <c r="AB48">
        <f t="shared" si="33"/>
        <v>17</v>
      </c>
      <c r="AC48">
        <f t="shared" si="33"/>
        <v>18</v>
      </c>
      <c r="AD48">
        <f t="shared" si="33"/>
        <v>19</v>
      </c>
      <c r="AE48">
        <f t="shared" si="33"/>
        <v>20</v>
      </c>
      <c r="AF48">
        <f t="shared" si="33"/>
        <v>21</v>
      </c>
      <c r="AG48">
        <f t="shared" si="33"/>
        <v>22</v>
      </c>
      <c r="AH48">
        <f t="shared" si="33"/>
        <v>23</v>
      </c>
      <c r="AI48">
        <f t="shared" si="33"/>
        <v>24</v>
      </c>
      <c r="AJ48">
        <f t="shared" si="33"/>
        <v>25</v>
      </c>
      <c r="AK48">
        <f t="shared" si="33"/>
        <v>26</v>
      </c>
      <c r="AL48">
        <f>+AK48+1</f>
        <v>27</v>
      </c>
      <c r="AM48">
        <f t="shared" ref="AM48:CX48" si="34">+AL48+1</f>
        <v>28</v>
      </c>
      <c r="AN48">
        <f t="shared" si="34"/>
        <v>29</v>
      </c>
      <c r="AO48">
        <f t="shared" si="34"/>
        <v>30</v>
      </c>
      <c r="AP48">
        <f t="shared" si="34"/>
        <v>31</v>
      </c>
      <c r="AQ48">
        <f t="shared" si="34"/>
        <v>32</v>
      </c>
      <c r="AR48">
        <f t="shared" si="34"/>
        <v>33</v>
      </c>
      <c r="AS48">
        <f t="shared" si="34"/>
        <v>34</v>
      </c>
      <c r="AT48">
        <f t="shared" si="34"/>
        <v>35</v>
      </c>
      <c r="AU48">
        <f t="shared" si="34"/>
        <v>36</v>
      </c>
      <c r="AV48">
        <f t="shared" si="34"/>
        <v>37</v>
      </c>
      <c r="AW48">
        <f t="shared" si="34"/>
        <v>38</v>
      </c>
      <c r="AX48">
        <f t="shared" si="34"/>
        <v>39</v>
      </c>
      <c r="AY48">
        <f t="shared" si="34"/>
        <v>40</v>
      </c>
      <c r="AZ48">
        <f t="shared" si="34"/>
        <v>41</v>
      </c>
      <c r="BA48">
        <f t="shared" si="34"/>
        <v>42</v>
      </c>
      <c r="BB48">
        <f t="shared" si="34"/>
        <v>43</v>
      </c>
      <c r="BC48">
        <f t="shared" si="34"/>
        <v>44</v>
      </c>
      <c r="BD48">
        <f t="shared" si="34"/>
        <v>45</v>
      </c>
      <c r="BE48">
        <f t="shared" si="34"/>
        <v>46</v>
      </c>
      <c r="BF48">
        <f t="shared" si="34"/>
        <v>47</v>
      </c>
      <c r="BG48">
        <f t="shared" si="34"/>
        <v>48</v>
      </c>
      <c r="BH48">
        <f t="shared" si="34"/>
        <v>49</v>
      </c>
      <c r="BI48">
        <f t="shared" si="34"/>
        <v>50</v>
      </c>
      <c r="BJ48">
        <f t="shared" si="34"/>
        <v>51</v>
      </c>
      <c r="BK48">
        <f t="shared" si="34"/>
        <v>52</v>
      </c>
      <c r="BL48">
        <f t="shared" si="34"/>
        <v>53</v>
      </c>
      <c r="BM48">
        <f t="shared" si="34"/>
        <v>54</v>
      </c>
      <c r="BN48">
        <f t="shared" si="34"/>
        <v>55</v>
      </c>
      <c r="BO48">
        <f t="shared" si="34"/>
        <v>56</v>
      </c>
      <c r="BP48">
        <f t="shared" si="34"/>
        <v>57</v>
      </c>
      <c r="BQ48">
        <f t="shared" si="34"/>
        <v>58</v>
      </c>
      <c r="BR48">
        <f t="shared" si="34"/>
        <v>59</v>
      </c>
      <c r="BS48">
        <f t="shared" si="34"/>
        <v>60</v>
      </c>
      <c r="BT48">
        <f t="shared" si="34"/>
        <v>61</v>
      </c>
      <c r="BU48">
        <f t="shared" si="34"/>
        <v>62</v>
      </c>
      <c r="BV48">
        <f t="shared" si="34"/>
        <v>63</v>
      </c>
      <c r="BW48">
        <f t="shared" si="34"/>
        <v>64</v>
      </c>
      <c r="BX48">
        <f t="shared" si="34"/>
        <v>65</v>
      </c>
      <c r="BY48">
        <f t="shared" si="34"/>
        <v>66</v>
      </c>
      <c r="BZ48">
        <f t="shared" si="34"/>
        <v>67</v>
      </c>
      <c r="CA48">
        <f t="shared" si="34"/>
        <v>68</v>
      </c>
      <c r="CB48">
        <f t="shared" si="34"/>
        <v>69</v>
      </c>
      <c r="CC48">
        <f t="shared" si="34"/>
        <v>70</v>
      </c>
      <c r="CD48">
        <f t="shared" si="34"/>
        <v>71</v>
      </c>
      <c r="CE48">
        <f t="shared" si="34"/>
        <v>72</v>
      </c>
      <c r="CF48">
        <f t="shared" si="34"/>
        <v>73</v>
      </c>
      <c r="CG48">
        <f t="shared" si="34"/>
        <v>74</v>
      </c>
      <c r="CH48">
        <f t="shared" si="34"/>
        <v>75</v>
      </c>
      <c r="CI48">
        <f t="shared" si="34"/>
        <v>76</v>
      </c>
      <c r="CJ48">
        <f t="shared" si="34"/>
        <v>77</v>
      </c>
      <c r="CK48">
        <f t="shared" si="34"/>
        <v>78</v>
      </c>
      <c r="CL48">
        <f t="shared" si="34"/>
        <v>79</v>
      </c>
      <c r="CM48">
        <f t="shared" si="34"/>
        <v>80</v>
      </c>
      <c r="CN48">
        <f t="shared" si="34"/>
        <v>81</v>
      </c>
      <c r="CO48">
        <f t="shared" si="34"/>
        <v>82</v>
      </c>
      <c r="CP48">
        <f t="shared" si="34"/>
        <v>83</v>
      </c>
      <c r="CQ48">
        <f t="shared" si="34"/>
        <v>84</v>
      </c>
      <c r="CR48">
        <f t="shared" si="34"/>
        <v>85</v>
      </c>
      <c r="CS48">
        <f t="shared" si="34"/>
        <v>86</v>
      </c>
      <c r="CT48">
        <f t="shared" si="34"/>
        <v>87</v>
      </c>
      <c r="CU48">
        <f t="shared" si="34"/>
        <v>88</v>
      </c>
      <c r="CV48">
        <f t="shared" si="34"/>
        <v>89</v>
      </c>
      <c r="CW48">
        <f t="shared" si="34"/>
        <v>90</v>
      </c>
      <c r="CX48">
        <f t="shared" si="34"/>
        <v>91</v>
      </c>
      <c r="CY48">
        <f t="shared" ref="CY48:DG48" si="35">+CX48+1</f>
        <v>92</v>
      </c>
      <c r="CZ48">
        <f t="shared" si="35"/>
        <v>93</v>
      </c>
      <c r="DA48">
        <f t="shared" si="35"/>
        <v>94</v>
      </c>
      <c r="DB48">
        <f t="shared" si="35"/>
        <v>95</v>
      </c>
      <c r="DC48">
        <f t="shared" si="35"/>
        <v>96</v>
      </c>
      <c r="DD48">
        <f t="shared" si="35"/>
        <v>97</v>
      </c>
      <c r="DE48">
        <f t="shared" si="35"/>
        <v>98</v>
      </c>
      <c r="DF48">
        <f t="shared" si="35"/>
        <v>99</v>
      </c>
      <c r="DG48">
        <f t="shared" si="35"/>
        <v>100</v>
      </c>
    </row>
    <row r="49" spans="1:111">
      <c r="A49" s="2">
        <v>45995</v>
      </c>
      <c r="B49">
        <v>279.93801879882813</v>
      </c>
      <c r="C49">
        <f t="shared" si="0"/>
        <v>-5.305260917551115E-3</v>
      </c>
      <c r="J49">
        <v>1</v>
      </c>
      <c r="K49">
        <f>+B254</f>
        <v>333.01998901367188</v>
      </c>
      <c r="L49">
        <f ca="1">K49+K49*$F$5*$G$10+K49*$G$5*$G$11*NORMSINV(RAND())</f>
        <v>334.77379779567963</v>
      </c>
      <c r="M49">
        <f t="shared" ref="M49:BX50" ca="1" si="36">L49+L49*$F$5*$G$10+L49*$G$5*$G$11*NORMSINV(RAND())</f>
        <v>335.10181579069638</v>
      </c>
      <c r="N49">
        <f t="shared" ca="1" si="36"/>
        <v>334.48054956904184</v>
      </c>
      <c r="O49">
        <f t="shared" ca="1" si="36"/>
        <v>331.86881060191359</v>
      </c>
      <c r="P49">
        <f t="shared" ca="1" si="36"/>
        <v>329.80443514567565</v>
      </c>
      <c r="Q49">
        <f t="shared" ca="1" si="36"/>
        <v>329.97711627365857</v>
      </c>
      <c r="R49">
        <f t="shared" ca="1" si="36"/>
        <v>331.10842475217095</v>
      </c>
      <c r="S49">
        <f t="shared" ca="1" si="36"/>
        <v>329.28354198116881</v>
      </c>
      <c r="T49">
        <f t="shared" ca="1" si="36"/>
        <v>328.44273748906414</v>
      </c>
      <c r="U49">
        <f t="shared" ca="1" si="36"/>
        <v>326.08741320624807</v>
      </c>
      <c r="V49">
        <f t="shared" ca="1" si="36"/>
        <v>325.70216156249995</v>
      </c>
      <c r="W49">
        <f t="shared" ca="1" si="36"/>
        <v>323.00615921546319</v>
      </c>
      <c r="X49">
        <f t="shared" ca="1" si="36"/>
        <v>319.38093209668756</v>
      </c>
      <c r="Y49">
        <f t="shared" ca="1" si="36"/>
        <v>321.22838002302194</v>
      </c>
      <c r="Z49">
        <f t="shared" ca="1" si="36"/>
        <v>328.02894719051801</v>
      </c>
      <c r="AA49">
        <f t="shared" ca="1" si="36"/>
        <v>327.16665535151134</v>
      </c>
      <c r="AB49">
        <f t="shared" ca="1" si="36"/>
        <v>326.08834826786637</v>
      </c>
      <c r="AC49">
        <f t="shared" ca="1" si="36"/>
        <v>328.11732035529218</v>
      </c>
      <c r="AD49">
        <f t="shared" ca="1" si="36"/>
        <v>332.82026524400027</v>
      </c>
      <c r="AE49">
        <f t="shared" ca="1" si="36"/>
        <v>332.7531926280426</v>
      </c>
      <c r="AF49">
        <f t="shared" ca="1" si="36"/>
        <v>334.46594256571393</v>
      </c>
      <c r="AG49">
        <f t="shared" ca="1" si="36"/>
        <v>335.64711513753616</v>
      </c>
      <c r="AH49">
        <f t="shared" ca="1" si="36"/>
        <v>334.57255873912629</v>
      </c>
      <c r="AI49">
        <f t="shared" ca="1" si="36"/>
        <v>334.03697572411687</v>
      </c>
      <c r="AJ49">
        <f t="shared" ca="1" si="36"/>
        <v>337.180425997984</v>
      </c>
      <c r="AK49">
        <f t="shared" ca="1" si="36"/>
        <v>337.56735746555802</v>
      </c>
      <c r="AL49">
        <f t="shared" ca="1" si="36"/>
        <v>339.49980415718909</v>
      </c>
      <c r="AM49">
        <f t="shared" ca="1" si="36"/>
        <v>340.67651584714503</v>
      </c>
      <c r="AN49">
        <f t="shared" ca="1" si="36"/>
        <v>339.13129167295205</v>
      </c>
      <c r="AO49">
        <f t="shared" ca="1" si="36"/>
        <v>337.22689976778946</v>
      </c>
      <c r="AP49">
        <f t="shared" ca="1" si="36"/>
        <v>337.14705385742235</v>
      </c>
      <c r="AQ49">
        <f t="shared" ca="1" si="36"/>
        <v>337.4751891612384</v>
      </c>
      <c r="AR49">
        <f t="shared" ca="1" si="36"/>
        <v>339.31523355795815</v>
      </c>
      <c r="AS49">
        <f t="shared" ca="1" si="36"/>
        <v>341.60665390926835</v>
      </c>
      <c r="AT49">
        <f t="shared" ca="1" si="36"/>
        <v>337.5933887408778</v>
      </c>
      <c r="AU49">
        <f t="shared" ca="1" si="36"/>
        <v>334.92689081349852</v>
      </c>
      <c r="AV49">
        <f t="shared" ca="1" si="36"/>
        <v>336.94298003378697</v>
      </c>
      <c r="AW49">
        <f t="shared" ca="1" si="36"/>
        <v>342.47301178688446</v>
      </c>
      <c r="AX49">
        <f t="shared" ca="1" si="36"/>
        <v>344.55118157224865</v>
      </c>
      <c r="AY49">
        <f t="shared" ca="1" si="36"/>
        <v>345.20914079911057</v>
      </c>
      <c r="AZ49">
        <f t="shared" ca="1" si="36"/>
        <v>348.16794509978973</v>
      </c>
      <c r="BA49">
        <f t="shared" ca="1" si="36"/>
        <v>351.19253395439483</v>
      </c>
      <c r="BB49">
        <f t="shared" ca="1" si="36"/>
        <v>351.83136263376247</v>
      </c>
      <c r="BC49">
        <f t="shared" ca="1" si="36"/>
        <v>354.75833637494435</v>
      </c>
      <c r="BD49">
        <f t="shared" ca="1" si="36"/>
        <v>356.24407551565508</v>
      </c>
      <c r="BE49">
        <f t="shared" ca="1" si="36"/>
        <v>357.89849333659862</v>
      </c>
      <c r="BF49">
        <f t="shared" ca="1" si="36"/>
        <v>358.86650984465331</v>
      </c>
      <c r="BG49">
        <f t="shared" ca="1" si="36"/>
        <v>357.94703273163816</v>
      </c>
      <c r="BH49">
        <f t="shared" ca="1" si="36"/>
        <v>353.80718880465645</v>
      </c>
      <c r="BI49">
        <f t="shared" ca="1" si="36"/>
        <v>356.76810346241558</v>
      </c>
      <c r="BJ49">
        <f t="shared" ca="1" si="36"/>
        <v>360.30143894003703</v>
      </c>
      <c r="BK49">
        <f t="shared" ca="1" si="36"/>
        <v>361.52608895230969</v>
      </c>
      <c r="BL49">
        <f t="shared" ca="1" si="36"/>
        <v>358.54400492760271</v>
      </c>
      <c r="BM49">
        <f t="shared" ca="1" si="36"/>
        <v>365.93744671562382</v>
      </c>
      <c r="BN49">
        <f t="shared" ca="1" si="36"/>
        <v>363.92164972342829</v>
      </c>
      <c r="BO49">
        <f t="shared" ca="1" si="36"/>
        <v>364.15891014532605</v>
      </c>
      <c r="BP49">
        <f t="shared" ca="1" si="36"/>
        <v>362.776279473079</v>
      </c>
      <c r="BQ49">
        <f t="shared" ca="1" si="36"/>
        <v>365.55784611834684</v>
      </c>
      <c r="BR49">
        <f t="shared" ca="1" si="36"/>
        <v>365.413482529215</v>
      </c>
      <c r="BS49">
        <f t="shared" ca="1" si="36"/>
        <v>364.35757725507307</v>
      </c>
      <c r="BT49">
        <f t="shared" ca="1" si="36"/>
        <v>364.16933784678793</v>
      </c>
      <c r="BU49">
        <f t="shared" ca="1" si="36"/>
        <v>362.94368741124873</v>
      </c>
      <c r="BV49">
        <f t="shared" ca="1" si="36"/>
        <v>362.45911592080233</v>
      </c>
      <c r="BW49">
        <f t="shared" ca="1" si="36"/>
        <v>360.77946205680155</v>
      </c>
      <c r="BX49">
        <f t="shared" ca="1" si="36"/>
        <v>359.6201861378355</v>
      </c>
      <c r="BY49">
        <f t="shared" ref="BY49:DG53" ca="1" si="37">BX49+BX49*$F$5*$G$10+BX49*$G$5*$G$11*NORMSINV(RAND())</f>
        <v>361.5265048825691</v>
      </c>
      <c r="BZ49">
        <f t="shared" ca="1" si="37"/>
        <v>361.46844145056662</v>
      </c>
      <c r="CA49">
        <f t="shared" ca="1" si="37"/>
        <v>359.30286233265934</v>
      </c>
      <c r="CB49">
        <f t="shared" ca="1" si="37"/>
        <v>358.68834957206741</v>
      </c>
      <c r="CC49">
        <f t="shared" ca="1" si="37"/>
        <v>358.83891905531243</v>
      </c>
      <c r="CD49">
        <f t="shared" ca="1" si="37"/>
        <v>355.4944330563481</v>
      </c>
      <c r="CE49">
        <f t="shared" ca="1" si="37"/>
        <v>356.16968104515456</v>
      </c>
      <c r="CF49">
        <f t="shared" ca="1" si="37"/>
        <v>357.74793546678228</v>
      </c>
      <c r="CG49">
        <f t="shared" ca="1" si="37"/>
        <v>359.11691827929405</v>
      </c>
      <c r="CH49">
        <f t="shared" ca="1" si="37"/>
        <v>362.69337140312507</v>
      </c>
      <c r="CI49">
        <f t="shared" ca="1" si="37"/>
        <v>365.91326944645027</v>
      </c>
      <c r="CJ49">
        <f t="shared" ca="1" si="37"/>
        <v>369.96223156356973</v>
      </c>
      <c r="CK49">
        <f t="shared" ca="1" si="37"/>
        <v>369.63894138798662</v>
      </c>
      <c r="CL49">
        <f t="shared" ca="1" si="37"/>
        <v>368.33521283700873</v>
      </c>
      <c r="CM49">
        <f t="shared" ca="1" si="37"/>
        <v>371.11698286686573</v>
      </c>
      <c r="CN49">
        <f t="shared" ca="1" si="37"/>
        <v>373.87775418461354</v>
      </c>
      <c r="CO49">
        <f t="shared" ca="1" si="37"/>
        <v>373.14759344072439</v>
      </c>
      <c r="CP49">
        <f t="shared" ca="1" si="37"/>
        <v>377.2700229743358</v>
      </c>
      <c r="CQ49">
        <f t="shared" ca="1" si="37"/>
        <v>381.19863086109643</v>
      </c>
      <c r="CR49">
        <f t="shared" ca="1" si="37"/>
        <v>376.4161838594689</v>
      </c>
      <c r="CS49">
        <f t="shared" ca="1" si="37"/>
        <v>377.57403485256151</v>
      </c>
      <c r="CT49">
        <f t="shared" ca="1" si="37"/>
        <v>383.63402821795705</v>
      </c>
      <c r="CU49">
        <f t="shared" ca="1" si="37"/>
        <v>383.7746150553192</v>
      </c>
      <c r="CV49">
        <f t="shared" ca="1" si="37"/>
        <v>383.88359517563811</v>
      </c>
      <c r="CW49">
        <f t="shared" ca="1" si="37"/>
        <v>382.49407845291972</v>
      </c>
      <c r="CX49">
        <f t="shared" ca="1" si="37"/>
        <v>380.29270996372276</v>
      </c>
      <c r="CY49">
        <f t="shared" ca="1" si="37"/>
        <v>377.71657696542286</v>
      </c>
      <c r="CZ49">
        <f t="shared" ca="1" si="37"/>
        <v>382.00314224512971</v>
      </c>
      <c r="DA49">
        <f t="shared" ca="1" si="37"/>
        <v>382.9469954797413</v>
      </c>
      <c r="DB49">
        <f t="shared" ca="1" si="37"/>
        <v>387.19512733640136</v>
      </c>
      <c r="DC49">
        <f t="shared" ca="1" si="37"/>
        <v>386.95320278918877</v>
      </c>
      <c r="DD49">
        <f t="shared" ca="1" si="37"/>
        <v>386.04503822673354</v>
      </c>
      <c r="DE49">
        <f t="shared" ca="1" si="37"/>
        <v>388.21590601454653</v>
      </c>
      <c r="DF49">
        <f t="shared" ca="1" si="37"/>
        <v>386.74541290196896</v>
      </c>
      <c r="DG49">
        <f t="shared" ca="1" si="37"/>
        <v>385.06737793753746</v>
      </c>
    </row>
    <row r="50" spans="1:111">
      <c r="A50" s="2">
        <v>45996</v>
      </c>
      <c r="B50">
        <v>278.02325439453119</v>
      </c>
      <c r="C50">
        <f t="shared" si="0"/>
        <v>-2.9807619965332346E-3</v>
      </c>
      <c r="J50">
        <v>2</v>
      </c>
      <c r="K50">
        <f>+K49</f>
        <v>333.01998901367188</v>
      </c>
      <c r="L50">
        <f t="shared" ref="L50:AA58" ca="1" si="38">K50+K50*$F$5*$G$10+K50*$G$5*$G$11*NORMSINV(RAND())</f>
        <v>332.52500351585593</v>
      </c>
      <c r="M50">
        <f t="shared" ca="1" si="38"/>
        <v>327.60240968150174</v>
      </c>
      <c r="N50">
        <f t="shared" ca="1" si="38"/>
        <v>327.84614792291501</v>
      </c>
      <c r="O50">
        <f t="shared" ca="1" si="38"/>
        <v>326.28428112223042</v>
      </c>
      <c r="P50">
        <f t="shared" ca="1" si="38"/>
        <v>326.99204209617056</v>
      </c>
      <c r="Q50">
        <f t="shared" ca="1" si="38"/>
        <v>326.31137159233515</v>
      </c>
      <c r="R50">
        <f t="shared" ca="1" si="38"/>
        <v>327.11516789924241</v>
      </c>
      <c r="S50">
        <f t="shared" ca="1" si="38"/>
        <v>330.25609658020613</v>
      </c>
      <c r="T50">
        <f t="shared" ca="1" si="38"/>
        <v>333.39696739093387</v>
      </c>
      <c r="U50">
        <f t="shared" ca="1" si="38"/>
        <v>330.90325025886153</v>
      </c>
      <c r="V50">
        <f t="shared" ca="1" si="38"/>
        <v>332.23071732279089</v>
      </c>
      <c r="W50">
        <f t="shared" ca="1" si="38"/>
        <v>330.26292047475408</v>
      </c>
      <c r="X50">
        <f t="shared" ca="1" si="38"/>
        <v>330.08821899502897</v>
      </c>
      <c r="Y50">
        <f t="shared" ca="1" si="38"/>
        <v>330.87268884869627</v>
      </c>
      <c r="Z50">
        <f t="shared" ca="1" si="38"/>
        <v>329.13371568912635</v>
      </c>
      <c r="AA50">
        <f t="shared" ca="1" si="38"/>
        <v>326.57090363024327</v>
      </c>
      <c r="AB50">
        <f t="shared" ca="1" si="36"/>
        <v>328.34442384490291</v>
      </c>
      <c r="AC50">
        <f t="shared" ca="1" si="36"/>
        <v>328.59035672858073</v>
      </c>
      <c r="AD50">
        <f t="shared" ca="1" si="36"/>
        <v>326.70398274361736</v>
      </c>
      <c r="AE50">
        <f t="shared" ca="1" si="36"/>
        <v>326.91657998530263</v>
      </c>
      <c r="AF50">
        <f t="shared" ca="1" si="36"/>
        <v>324.60294904386558</v>
      </c>
      <c r="AG50">
        <f t="shared" ca="1" si="36"/>
        <v>327.71477130778112</v>
      </c>
      <c r="AH50">
        <f t="shared" ca="1" si="36"/>
        <v>323.62822483643782</v>
      </c>
      <c r="AI50">
        <f t="shared" ca="1" si="36"/>
        <v>322.30874408228902</v>
      </c>
      <c r="AJ50">
        <f t="shared" ca="1" si="36"/>
        <v>322.07297348390375</v>
      </c>
      <c r="AK50">
        <f t="shared" ca="1" si="36"/>
        <v>322.3072739074878</v>
      </c>
      <c r="AL50">
        <f t="shared" ca="1" si="36"/>
        <v>317.31202656624521</v>
      </c>
      <c r="AM50">
        <f t="shared" ca="1" si="36"/>
        <v>316.51060924338361</v>
      </c>
      <c r="AN50">
        <f t="shared" ca="1" si="36"/>
        <v>319.88933973017373</v>
      </c>
      <c r="AO50">
        <f t="shared" ca="1" si="36"/>
        <v>320.89431063290016</v>
      </c>
      <c r="AP50">
        <f t="shared" ca="1" si="36"/>
        <v>319.30016342585975</v>
      </c>
      <c r="AQ50">
        <f t="shared" ca="1" si="36"/>
        <v>319.00677713584236</v>
      </c>
      <c r="AR50">
        <f t="shared" ca="1" si="36"/>
        <v>320.14350205364843</v>
      </c>
      <c r="AS50">
        <f t="shared" ca="1" si="36"/>
        <v>321.65115145452211</v>
      </c>
      <c r="AT50">
        <f t="shared" ca="1" si="36"/>
        <v>322.83969800910251</v>
      </c>
      <c r="AU50">
        <f t="shared" ca="1" si="36"/>
        <v>322.03078776972217</v>
      </c>
      <c r="AV50">
        <f t="shared" ca="1" si="36"/>
        <v>324.07532612409506</v>
      </c>
      <c r="AW50">
        <f t="shared" ca="1" si="36"/>
        <v>321.72077483823648</v>
      </c>
      <c r="AX50">
        <f t="shared" ca="1" si="36"/>
        <v>323.03806501086092</v>
      </c>
      <c r="AY50">
        <f t="shared" ca="1" si="36"/>
        <v>323.49380535956209</v>
      </c>
      <c r="AZ50">
        <f t="shared" ca="1" si="36"/>
        <v>328.12473660447051</v>
      </c>
      <c r="BA50">
        <f t="shared" ca="1" si="36"/>
        <v>330.79973423763249</v>
      </c>
      <c r="BB50">
        <f t="shared" ca="1" si="36"/>
        <v>331.29347864171177</v>
      </c>
      <c r="BC50">
        <f t="shared" ca="1" si="36"/>
        <v>329.05661835174891</v>
      </c>
      <c r="BD50">
        <f t="shared" ca="1" si="36"/>
        <v>331.01252633507414</v>
      </c>
      <c r="BE50">
        <f t="shared" ca="1" si="36"/>
        <v>326.52193456237524</v>
      </c>
      <c r="BF50">
        <f t="shared" ca="1" si="36"/>
        <v>325.02523073499185</v>
      </c>
      <c r="BG50">
        <f t="shared" ca="1" si="36"/>
        <v>323.21993729584631</v>
      </c>
      <c r="BH50">
        <f t="shared" ca="1" si="36"/>
        <v>324.93188864059164</v>
      </c>
      <c r="BI50">
        <f t="shared" ca="1" si="36"/>
        <v>322.34056487958901</v>
      </c>
      <c r="BJ50">
        <f t="shared" ca="1" si="36"/>
        <v>323.55086997104087</v>
      </c>
      <c r="BK50">
        <f t="shared" ca="1" si="36"/>
        <v>323.58462652230071</v>
      </c>
      <c r="BL50">
        <f t="shared" ca="1" si="36"/>
        <v>327.05578710927637</v>
      </c>
      <c r="BM50">
        <f t="shared" ca="1" si="36"/>
        <v>326.13632885977063</v>
      </c>
      <c r="BN50">
        <f t="shared" ca="1" si="36"/>
        <v>330.49399960611754</v>
      </c>
      <c r="BO50">
        <f t="shared" ca="1" si="36"/>
        <v>331.30113149659297</v>
      </c>
      <c r="BP50">
        <f t="shared" ca="1" si="36"/>
        <v>327.41638573408699</v>
      </c>
      <c r="BQ50">
        <f t="shared" ca="1" si="36"/>
        <v>333.60402199110683</v>
      </c>
      <c r="BR50">
        <f t="shared" ca="1" si="36"/>
        <v>334.45168449317146</v>
      </c>
      <c r="BS50">
        <f t="shared" ca="1" si="36"/>
        <v>331.75538232416756</v>
      </c>
      <c r="BT50">
        <f t="shared" ca="1" si="36"/>
        <v>327.70791882968314</v>
      </c>
      <c r="BU50">
        <f t="shared" ca="1" si="36"/>
        <v>324.86448404904559</v>
      </c>
      <c r="BV50">
        <f t="shared" ca="1" si="36"/>
        <v>325.8286180852466</v>
      </c>
      <c r="BW50">
        <f t="shared" ca="1" si="36"/>
        <v>326.85065354745376</v>
      </c>
      <c r="BX50">
        <f t="shared" ca="1" si="36"/>
        <v>328.71123434337665</v>
      </c>
      <c r="BY50">
        <f t="shared" ca="1" si="37"/>
        <v>328.94024561519262</v>
      </c>
      <c r="BZ50">
        <f t="shared" ca="1" si="37"/>
        <v>329.28123653126272</v>
      </c>
      <c r="CA50">
        <f t="shared" ca="1" si="37"/>
        <v>331.17002954791053</v>
      </c>
      <c r="CB50">
        <f t="shared" ca="1" si="37"/>
        <v>332.47090739400181</v>
      </c>
      <c r="CC50">
        <f t="shared" ca="1" si="37"/>
        <v>332.78816598484093</v>
      </c>
      <c r="CD50">
        <f t="shared" ca="1" si="37"/>
        <v>332.99679459953524</v>
      </c>
      <c r="CE50">
        <f t="shared" ca="1" si="37"/>
        <v>333.96905461923416</v>
      </c>
      <c r="CF50">
        <f t="shared" ca="1" si="37"/>
        <v>329.52319382028816</v>
      </c>
      <c r="CG50">
        <f t="shared" ca="1" si="37"/>
        <v>324.14335298275637</v>
      </c>
      <c r="CH50">
        <f t="shared" ca="1" si="37"/>
        <v>325.78431602657759</v>
      </c>
      <c r="CI50">
        <f t="shared" ca="1" si="37"/>
        <v>328.86530306937169</v>
      </c>
      <c r="CJ50">
        <f t="shared" ca="1" si="37"/>
        <v>330.12491916848882</v>
      </c>
      <c r="CK50">
        <f t="shared" ca="1" si="37"/>
        <v>328.57188896004192</v>
      </c>
      <c r="CL50">
        <f t="shared" ca="1" si="37"/>
        <v>326.19546940479819</v>
      </c>
      <c r="CM50">
        <f t="shared" ca="1" si="37"/>
        <v>325.46563037036327</v>
      </c>
      <c r="CN50">
        <f t="shared" ca="1" si="37"/>
        <v>320.68791848778045</v>
      </c>
      <c r="CO50">
        <f t="shared" ca="1" si="37"/>
        <v>321.47698784310899</v>
      </c>
      <c r="CP50">
        <f t="shared" ca="1" si="37"/>
        <v>323.19814460694988</v>
      </c>
      <c r="CQ50">
        <f t="shared" ca="1" si="37"/>
        <v>322.53825707854958</v>
      </c>
      <c r="CR50">
        <f t="shared" ca="1" si="37"/>
        <v>323.56819678243164</v>
      </c>
      <c r="CS50">
        <f t="shared" ca="1" si="37"/>
        <v>322.92921712826296</v>
      </c>
      <c r="CT50">
        <f t="shared" ca="1" si="37"/>
        <v>321.29747145489171</v>
      </c>
      <c r="CU50">
        <f t="shared" ca="1" si="37"/>
        <v>323.98763716212915</v>
      </c>
      <c r="CV50">
        <f t="shared" ca="1" si="37"/>
        <v>328.00986239897054</v>
      </c>
      <c r="CW50">
        <f t="shared" ca="1" si="37"/>
        <v>323.14909606332139</v>
      </c>
      <c r="CX50">
        <f t="shared" ca="1" si="37"/>
        <v>319.02675348319599</v>
      </c>
      <c r="CY50">
        <f t="shared" ca="1" si="37"/>
        <v>315.8950109313617</v>
      </c>
      <c r="CZ50">
        <f t="shared" ca="1" si="37"/>
        <v>316.79279962587322</v>
      </c>
      <c r="DA50">
        <f t="shared" ca="1" si="37"/>
        <v>318.16683403859867</v>
      </c>
      <c r="DB50">
        <f t="shared" ca="1" si="37"/>
        <v>322.10189451851886</v>
      </c>
      <c r="DC50">
        <f t="shared" ca="1" si="37"/>
        <v>318.82598048986273</v>
      </c>
      <c r="DD50">
        <f t="shared" ca="1" si="37"/>
        <v>316.44186455016353</v>
      </c>
      <c r="DE50">
        <f t="shared" ca="1" si="37"/>
        <v>316.38751220499802</v>
      </c>
      <c r="DF50">
        <f t="shared" ca="1" si="37"/>
        <v>317.63831020472168</v>
      </c>
      <c r="DG50">
        <f t="shared" ca="1" si="37"/>
        <v>317.8743939007432</v>
      </c>
    </row>
    <row r="51" spans="1:111">
      <c r="A51" s="2">
        <v>45999</v>
      </c>
      <c r="B51">
        <v>277.13565063476563</v>
      </c>
      <c r="C51">
        <f t="shared" si="0"/>
        <v>-1.3887257862700213E-3</v>
      </c>
      <c r="J51">
        <v>3</v>
      </c>
      <c r="K51">
        <f t="shared" ref="K51:K58" si="39">+K50</f>
        <v>333.01998901367188</v>
      </c>
      <c r="L51">
        <f t="shared" ca="1" si="38"/>
        <v>331.29865953227687</v>
      </c>
      <c r="M51">
        <f t="shared" ref="M51:BX54" ca="1" si="40">L51+L51*$F$5*$G$10+L51*$G$5*$G$11*NORMSINV(RAND())</f>
        <v>328.13063009089296</v>
      </c>
      <c r="N51">
        <f t="shared" ca="1" si="40"/>
        <v>326.64600356328663</v>
      </c>
      <c r="O51">
        <f t="shared" ca="1" si="40"/>
        <v>326.60642962552083</v>
      </c>
      <c r="P51">
        <f t="shared" ca="1" si="40"/>
        <v>327.95180403949934</v>
      </c>
      <c r="Q51">
        <f t="shared" ca="1" si="40"/>
        <v>325.36561303582357</v>
      </c>
      <c r="R51">
        <f t="shared" ca="1" si="40"/>
        <v>326.13296939986384</v>
      </c>
      <c r="S51">
        <f t="shared" ca="1" si="40"/>
        <v>327.67929152496134</v>
      </c>
      <c r="T51">
        <f t="shared" ca="1" si="40"/>
        <v>328.85114323757921</v>
      </c>
      <c r="U51">
        <f t="shared" ca="1" si="40"/>
        <v>329.51748679350908</v>
      </c>
      <c r="V51">
        <f t="shared" ca="1" si="40"/>
        <v>331.39141822136128</v>
      </c>
      <c r="W51">
        <f t="shared" ca="1" si="40"/>
        <v>328.08658656188271</v>
      </c>
      <c r="X51">
        <f t="shared" ca="1" si="40"/>
        <v>325.18731887557107</v>
      </c>
      <c r="Y51">
        <f t="shared" ca="1" si="40"/>
        <v>325.46747899274914</v>
      </c>
      <c r="Z51">
        <f t="shared" ca="1" si="40"/>
        <v>327.49152247720599</v>
      </c>
      <c r="AA51">
        <f t="shared" ca="1" si="40"/>
        <v>328.11789277476601</v>
      </c>
      <c r="AB51">
        <f t="shared" ca="1" si="40"/>
        <v>325.002912692748</v>
      </c>
      <c r="AC51">
        <f t="shared" ca="1" si="40"/>
        <v>323.74197086376358</v>
      </c>
      <c r="AD51">
        <f t="shared" ca="1" si="40"/>
        <v>320.96669031796108</v>
      </c>
      <c r="AE51">
        <f t="shared" ca="1" si="40"/>
        <v>320.92531262544935</v>
      </c>
      <c r="AF51">
        <f t="shared" ca="1" si="40"/>
        <v>320.26978810527339</v>
      </c>
      <c r="AG51">
        <f t="shared" ca="1" si="40"/>
        <v>317.41312174256723</v>
      </c>
      <c r="AH51">
        <f t="shared" ca="1" si="40"/>
        <v>318.37902303951057</v>
      </c>
      <c r="AI51">
        <f t="shared" ca="1" si="40"/>
        <v>319.91303497756752</v>
      </c>
      <c r="AJ51">
        <f t="shared" ca="1" si="40"/>
        <v>320.85571695455462</v>
      </c>
      <c r="AK51">
        <f t="shared" ca="1" si="40"/>
        <v>320.06493136039802</v>
      </c>
      <c r="AL51">
        <f t="shared" ca="1" si="40"/>
        <v>322.17605078250352</v>
      </c>
      <c r="AM51">
        <f t="shared" ca="1" si="40"/>
        <v>323.39890782872135</v>
      </c>
      <c r="AN51">
        <f t="shared" ca="1" si="40"/>
        <v>325.60176277721689</v>
      </c>
      <c r="AO51">
        <f t="shared" ca="1" si="40"/>
        <v>323.83716191166792</v>
      </c>
      <c r="AP51">
        <f t="shared" ca="1" si="40"/>
        <v>325.40000930289597</v>
      </c>
      <c r="AQ51">
        <f t="shared" ca="1" si="40"/>
        <v>324.13128251052132</v>
      </c>
      <c r="AR51">
        <f t="shared" ca="1" si="40"/>
        <v>324.29748168488317</v>
      </c>
      <c r="AS51">
        <f t="shared" ca="1" si="40"/>
        <v>324.70547790468009</v>
      </c>
      <c r="AT51">
        <f t="shared" ca="1" si="40"/>
        <v>325.12847914385691</v>
      </c>
      <c r="AU51">
        <f t="shared" ca="1" si="40"/>
        <v>324.1325357559827</v>
      </c>
      <c r="AV51">
        <f t="shared" ca="1" si="40"/>
        <v>322.33456398549464</v>
      </c>
      <c r="AW51">
        <f t="shared" ca="1" si="40"/>
        <v>321.13430501085219</v>
      </c>
      <c r="AX51">
        <f t="shared" ca="1" si="40"/>
        <v>318.54444457704523</v>
      </c>
      <c r="AY51">
        <f t="shared" ca="1" si="40"/>
        <v>317.44084641999814</v>
      </c>
      <c r="AZ51">
        <f t="shared" ca="1" si="40"/>
        <v>317.32463646765933</v>
      </c>
      <c r="BA51">
        <f t="shared" ca="1" si="40"/>
        <v>318.95015430908262</v>
      </c>
      <c r="BB51">
        <f t="shared" ca="1" si="40"/>
        <v>321.81365367781649</v>
      </c>
      <c r="BC51">
        <f t="shared" ca="1" si="40"/>
        <v>324.03491009995651</v>
      </c>
      <c r="BD51">
        <f t="shared" ca="1" si="40"/>
        <v>322.75698817650931</v>
      </c>
      <c r="BE51">
        <f t="shared" ca="1" si="40"/>
        <v>327.44264397037369</v>
      </c>
      <c r="BF51">
        <f t="shared" ca="1" si="40"/>
        <v>324.19726589626947</v>
      </c>
      <c r="BG51">
        <f t="shared" ca="1" si="40"/>
        <v>325.84772745594159</v>
      </c>
      <c r="BH51">
        <f t="shared" ca="1" si="40"/>
        <v>329.05485284305854</v>
      </c>
      <c r="BI51">
        <f t="shared" ca="1" si="40"/>
        <v>329.67931107680306</v>
      </c>
      <c r="BJ51">
        <f t="shared" ca="1" si="40"/>
        <v>327.05156699109523</v>
      </c>
      <c r="BK51">
        <f t="shared" ca="1" si="40"/>
        <v>330.33323898009695</v>
      </c>
      <c r="BL51">
        <f t="shared" ca="1" si="40"/>
        <v>333.54330951519484</v>
      </c>
      <c r="BM51">
        <f t="shared" ca="1" si="40"/>
        <v>331.71524438820273</v>
      </c>
      <c r="BN51">
        <f t="shared" ca="1" si="40"/>
        <v>330.36769627384371</v>
      </c>
      <c r="BO51">
        <f t="shared" ca="1" si="40"/>
        <v>328.56257322685155</v>
      </c>
      <c r="BP51">
        <f t="shared" ca="1" si="40"/>
        <v>326.8865980845531</v>
      </c>
      <c r="BQ51">
        <f t="shared" ca="1" si="40"/>
        <v>327.97438610852549</v>
      </c>
      <c r="BR51">
        <f t="shared" ca="1" si="40"/>
        <v>326.54886256999521</v>
      </c>
      <c r="BS51">
        <f t="shared" ca="1" si="40"/>
        <v>325.75636010088618</v>
      </c>
      <c r="BT51">
        <f t="shared" ca="1" si="40"/>
        <v>325.01631551084449</v>
      </c>
      <c r="BU51">
        <f t="shared" ca="1" si="40"/>
        <v>321.99828249010505</v>
      </c>
      <c r="BV51">
        <f t="shared" ca="1" si="40"/>
        <v>320.52765703988877</v>
      </c>
      <c r="BW51">
        <f t="shared" ca="1" si="40"/>
        <v>315.23853854204549</v>
      </c>
      <c r="BX51">
        <f t="shared" ca="1" si="40"/>
        <v>314.70674918628174</v>
      </c>
      <c r="BY51">
        <f t="shared" ca="1" si="37"/>
        <v>315.11810385192973</v>
      </c>
      <c r="BZ51">
        <f t="shared" ca="1" si="37"/>
        <v>317.45557026860723</v>
      </c>
      <c r="CA51">
        <f t="shared" ca="1" si="37"/>
        <v>316.96972505702803</v>
      </c>
      <c r="CB51">
        <f t="shared" ca="1" si="37"/>
        <v>316.11028663577491</v>
      </c>
      <c r="CC51">
        <f t="shared" ca="1" si="37"/>
        <v>315.12184946617293</v>
      </c>
      <c r="CD51">
        <f t="shared" ca="1" si="37"/>
        <v>315.63155492548395</v>
      </c>
      <c r="CE51">
        <f t="shared" ca="1" si="37"/>
        <v>317.05417072629115</v>
      </c>
      <c r="CF51">
        <f t="shared" ca="1" si="37"/>
        <v>315.79840791766617</v>
      </c>
      <c r="CG51">
        <f t="shared" ca="1" si="37"/>
        <v>315.62155323820673</v>
      </c>
      <c r="CH51">
        <f t="shared" ca="1" si="37"/>
        <v>314.78130561613756</v>
      </c>
      <c r="CI51">
        <f t="shared" ca="1" si="37"/>
        <v>316.68365969336901</v>
      </c>
      <c r="CJ51">
        <f t="shared" ca="1" si="37"/>
        <v>314.99947958232542</v>
      </c>
      <c r="CK51">
        <f t="shared" ca="1" si="37"/>
        <v>315.24170800445978</v>
      </c>
      <c r="CL51">
        <f t="shared" ca="1" si="37"/>
        <v>313.92587352764787</v>
      </c>
      <c r="CM51">
        <f t="shared" ca="1" si="37"/>
        <v>317.24257617120497</v>
      </c>
      <c r="CN51">
        <f t="shared" ca="1" si="37"/>
        <v>317.13626727093941</v>
      </c>
      <c r="CO51">
        <f t="shared" ca="1" si="37"/>
        <v>314.1817421701287</v>
      </c>
      <c r="CP51">
        <f t="shared" ca="1" si="37"/>
        <v>311.43206245490904</v>
      </c>
      <c r="CQ51">
        <f t="shared" ca="1" si="37"/>
        <v>311.43084711213407</v>
      </c>
      <c r="CR51">
        <f t="shared" ca="1" si="37"/>
        <v>310.18310387287215</v>
      </c>
      <c r="CS51">
        <f t="shared" ca="1" si="37"/>
        <v>312.60293397398573</v>
      </c>
      <c r="CT51">
        <f t="shared" ca="1" si="37"/>
        <v>312.27522036413058</v>
      </c>
      <c r="CU51">
        <f t="shared" ca="1" si="37"/>
        <v>314.83562490332451</v>
      </c>
      <c r="CV51">
        <f t="shared" ca="1" si="37"/>
        <v>311.45739484521414</v>
      </c>
      <c r="CW51">
        <f t="shared" ca="1" si="37"/>
        <v>312.95850513848347</v>
      </c>
      <c r="CX51">
        <f t="shared" ca="1" si="37"/>
        <v>312.6506178650065</v>
      </c>
      <c r="CY51">
        <f t="shared" ca="1" si="37"/>
        <v>314.02420447716247</v>
      </c>
      <c r="CZ51">
        <f t="shared" ca="1" si="37"/>
        <v>314.63881075595737</v>
      </c>
      <c r="DA51">
        <f t="shared" ca="1" si="37"/>
        <v>313.27198307426767</v>
      </c>
      <c r="DB51">
        <f t="shared" ca="1" si="37"/>
        <v>313.46240574608402</v>
      </c>
      <c r="DC51">
        <f t="shared" ca="1" si="37"/>
        <v>316.24523892253848</v>
      </c>
      <c r="DD51">
        <f t="shared" ca="1" si="37"/>
        <v>314.60718340684582</v>
      </c>
      <c r="DE51">
        <f t="shared" ca="1" si="37"/>
        <v>313.37514251248416</v>
      </c>
      <c r="DF51">
        <f t="shared" ca="1" si="37"/>
        <v>311.0947909244365</v>
      </c>
      <c r="DG51">
        <f t="shared" ca="1" si="37"/>
        <v>309.52077140025955</v>
      </c>
    </row>
    <row r="52" spans="1:111">
      <c r="A52" s="2">
        <v>46000</v>
      </c>
      <c r="B52">
        <v>276.42758178710938</v>
      </c>
      <c r="C52">
        <f t="shared" si="0"/>
        <v>-1.1110223477378708E-3</v>
      </c>
      <c r="J52">
        <v>4</v>
      </c>
      <c r="K52">
        <f t="shared" si="39"/>
        <v>333.01998901367188</v>
      </c>
      <c r="L52">
        <f t="shared" ca="1" si="38"/>
        <v>332.68839836719661</v>
      </c>
      <c r="M52">
        <f t="shared" ca="1" si="40"/>
        <v>328.38971928668838</v>
      </c>
      <c r="N52">
        <f t="shared" ca="1" si="40"/>
        <v>330.1620307347917</v>
      </c>
      <c r="O52">
        <f t="shared" ca="1" si="40"/>
        <v>329.94984377887045</v>
      </c>
      <c r="P52">
        <f t="shared" ca="1" si="40"/>
        <v>328.52666857068016</v>
      </c>
      <c r="Q52">
        <f t="shared" ca="1" si="40"/>
        <v>329.4590424538751</v>
      </c>
      <c r="R52">
        <f t="shared" ca="1" si="40"/>
        <v>329.51811329676661</v>
      </c>
      <c r="S52">
        <f t="shared" ca="1" si="40"/>
        <v>328.2534243093238</v>
      </c>
      <c r="T52">
        <f t="shared" ca="1" si="40"/>
        <v>330.43227393103092</v>
      </c>
      <c r="U52">
        <f t="shared" ca="1" si="40"/>
        <v>330.22509888818024</v>
      </c>
      <c r="V52">
        <f t="shared" ca="1" si="40"/>
        <v>332.38845078817263</v>
      </c>
      <c r="W52">
        <f t="shared" ca="1" si="40"/>
        <v>335.70412449659545</v>
      </c>
      <c r="X52">
        <f t="shared" ca="1" si="40"/>
        <v>334.75056422572698</v>
      </c>
      <c r="Y52">
        <f t="shared" ca="1" si="40"/>
        <v>334.17117050108919</v>
      </c>
      <c r="Z52">
        <f t="shared" ca="1" si="40"/>
        <v>337.55804386366339</v>
      </c>
      <c r="AA52">
        <f t="shared" ca="1" si="40"/>
        <v>336.86424331240329</v>
      </c>
      <c r="AB52">
        <f t="shared" ca="1" si="40"/>
        <v>339.08699631565474</v>
      </c>
      <c r="AC52">
        <f t="shared" ca="1" si="40"/>
        <v>338.36096603103437</v>
      </c>
      <c r="AD52">
        <f t="shared" ca="1" si="40"/>
        <v>337.08193213029716</v>
      </c>
      <c r="AE52">
        <f t="shared" ca="1" si="40"/>
        <v>336.11752284193813</v>
      </c>
      <c r="AF52">
        <f t="shared" ca="1" si="40"/>
        <v>339.10673699373069</v>
      </c>
      <c r="AG52">
        <f t="shared" ca="1" si="40"/>
        <v>337.27062889335929</v>
      </c>
      <c r="AH52">
        <f t="shared" ca="1" si="40"/>
        <v>334.71471619258318</v>
      </c>
      <c r="AI52">
        <f t="shared" ca="1" si="40"/>
        <v>336.42932005594292</v>
      </c>
      <c r="AJ52">
        <f t="shared" ca="1" si="40"/>
        <v>336.87968394791494</v>
      </c>
      <c r="AK52">
        <f t="shared" ca="1" si="40"/>
        <v>336.55089900103434</v>
      </c>
      <c r="AL52">
        <f t="shared" ca="1" si="40"/>
        <v>333.02709088884677</v>
      </c>
      <c r="AM52">
        <f t="shared" ca="1" si="40"/>
        <v>334.36026436302211</v>
      </c>
      <c r="AN52">
        <f t="shared" ca="1" si="40"/>
        <v>335.59057189865348</v>
      </c>
      <c r="AO52">
        <f t="shared" ca="1" si="40"/>
        <v>337.03988338907368</v>
      </c>
      <c r="AP52">
        <f t="shared" ca="1" si="40"/>
        <v>342.74727956762001</v>
      </c>
      <c r="AQ52">
        <f t="shared" ca="1" si="40"/>
        <v>341.217674644444</v>
      </c>
      <c r="AR52">
        <f t="shared" ca="1" si="40"/>
        <v>339.76596536368294</v>
      </c>
      <c r="AS52">
        <f t="shared" ca="1" si="40"/>
        <v>341.70622037340854</v>
      </c>
      <c r="AT52">
        <f t="shared" ca="1" si="40"/>
        <v>342.33097791719598</v>
      </c>
      <c r="AU52">
        <f t="shared" ca="1" si="40"/>
        <v>343.60262314684735</v>
      </c>
      <c r="AV52">
        <f t="shared" ca="1" si="40"/>
        <v>345.31393662158905</v>
      </c>
      <c r="AW52">
        <f t="shared" ca="1" si="40"/>
        <v>347.27883826171484</v>
      </c>
      <c r="AX52">
        <f t="shared" ca="1" si="40"/>
        <v>347.89522308288645</v>
      </c>
      <c r="AY52">
        <f t="shared" ca="1" si="40"/>
        <v>348.10741320366242</v>
      </c>
      <c r="AZ52">
        <f t="shared" ca="1" si="40"/>
        <v>342.50587161364064</v>
      </c>
      <c r="BA52">
        <f t="shared" ca="1" si="40"/>
        <v>342.42007816804482</v>
      </c>
      <c r="BB52">
        <f t="shared" ca="1" si="40"/>
        <v>342.51391361580846</v>
      </c>
      <c r="BC52">
        <f t="shared" ca="1" si="40"/>
        <v>339.29616723722097</v>
      </c>
      <c r="BD52">
        <f t="shared" ca="1" si="40"/>
        <v>341.32753764908415</v>
      </c>
      <c r="BE52">
        <f t="shared" ca="1" si="40"/>
        <v>344.82032152731284</v>
      </c>
      <c r="BF52">
        <f t="shared" ca="1" si="40"/>
        <v>344.65225903883879</v>
      </c>
      <c r="BG52">
        <f t="shared" ca="1" si="40"/>
        <v>347.62984275444677</v>
      </c>
      <c r="BH52">
        <f t="shared" ca="1" si="40"/>
        <v>348.29731428366097</v>
      </c>
      <c r="BI52">
        <f t="shared" ca="1" si="40"/>
        <v>348.75951795051225</v>
      </c>
      <c r="BJ52">
        <f t="shared" ca="1" si="40"/>
        <v>347.69055307303125</v>
      </c>
      <c r="BK52">
        <f t="shared" ca="1" si="40"/>
        <v>346.85853177652046</v>
      </c>
      <c r="BL52">
        <f t="shared" ca="1" si="40"/>
        <v>346.59879215412781</v>
      </c>
      <c r="BM52">
        <f t="shared" ca="1" si="40"/>
        <v>347.9988999661187</v>
      </c>
      <c r="BN52">
        <f t="shared" ca="1" si="40"/>
        <v>345.69707678814177</v>
      </c>
      <c r="BO52">
        <f t="shared" ca="1" si="40"/>
        <v>347.5475827969417</v>
      </c>
      <c r="BP52">
        <f t="shared" ca="1" si="40"/>
        <v>340.94827909719254</v>
      </c>
      <c r="BQ52">
        <f t="shared" ca="1" si="40"/>
        <v>340.52973708120379</v>
      </c>
      <c r="BR52">
        <f t="shared" ca="1" si="40"/>
        <v>344.48839119036165</v>
      </c>
      <c r="BS52">
        <f t="shared" ca="1" si="40"/>
        <v>346.270401285964</v>
      </c>
      <c r="BT52">
        <f t="shared" ca="1" si="40"/>
        <v>347.92710241209079</v>
      </c>
      <c r="BU52">
        <f t="shared" ca="1" si="40"/>
        <v>351.379897172575</v>
      </c>
      <c r="BV52">
        <f t="shared" ca="1" si="40"/>
        <v>350.76196046860088</v>
      </c>
      <c r="BW52">
        <f t="shared" ca="1" si="40"/>
        <v>351.3718599873456</v>
      </c>
      <c r="BX52">
        <f t="shared" ca="1" si="40"/>
        <v>349.09788639664214</v>
      </c>
      <c r="BY52">
        <f t="shared" ca="1" si="37"/>
        <v>352.11372401970931</v>
      </c>
      <c r="BZ52">
        <f t="shared" ca="1" si="37"/>
        <v>350.93970806222984</v>
      </c>
      <c r="CA52">
        <f t="shared" ca="1" si="37"/>
        <v>353.84281102386069</v>
      </c>
      <c r="CB52">
        <f t="shared" ca="1" si="37"/>
        <v>356.12765351800732</v>
      </c>
      <c r="CC52">
        <f t="shared" ca="1" si="37"/>
        <v>354.65290398438935</v>
      </c>
      <c r="CD52">
        <f t="shared" ca="1" si="37"/>
        <v>353.78901133103841</v>
      </c>
      <c r="CE52">
        <f t="shared" ca="1" si="37"/>
        <v>350.91962784137127</v>
      </c>
      <c r="CF52">
        <f t="shared" ca="1" si="37"/>
        <v>351.2842691566932</v>
      </c>
      <c r="CG52">
        <f t="shared" ca="1" si="37"/>
        <v>353.68850262567901</v>
      </c>
      <c r="CH52">
        <f t="shared" ca="1" si="37"/>
        <v>351.3404750122661</v>
      </c>
      <c r="CI52">
        <f t="shared" ca="1" si="37"/>
        <v>355.89497921663479</v>
      </c>
      <c r="CJ52">
        <f t="shared" ca="1" si="37"/>
        <v>358.99654956916419</v>
      </c>
      <c r="CK52">
        <f t="shared" ca="1" si="37"/>
        <v>357.2917844084713</v>
      </c>
      <c r="CL52">
        <f t="shared" ca="1" si="37"/>
        <v>356.36818559526535</v>
      </c>
      <c r="CM52">
        <f t="shared" ca="1" si="37"/>
        <v>356.42445601303217</v>
      </c>
      <c r="CN52">
        <f t="shared" ca="1" si="37"/>
        <v>354.75293780506456</v>
      </c>
      <c r="CO52">
        <f t="shared" ca="1" si="37"/>
        <v>352.88841620709803</v>
      </c>
      <c r="CP52">
        <f t="shared" ca="1" si="37"/>
        <v>352.5136064396886</v>
      </c>
      <c r="CQ52">
        <f t="shared" ca="1" si="37"/>
        <v>355.35699751152339</v>
      </c>
      <c r="CR52">
        <f t="shared" ca="1" si="37"/>
        <v>355.92170414658943</v>
      </c>
      <c r="CS52">
        <f t="shared" ca="1" si="37"/>
        <v>359.45960305458698</v>
      </c>
      <c r="CT52">
        <f t="shared" ca="1" si="37"/>
        <v>359.76336253561021</v>
      </c>
      <c r="CU52">
        <f t="shared" ca="1" si="37"/>
        <v>358.94665459571496</v>
      </c>
      <c r="CV52">
        <f t="shared" ca="1" si="37"/>
        <v>359.377671721311</v>
      </c>
      <c r="CW52">
        <f t="shared" ca="1" si="37"/>
        <v>359.68419372034452</v>
      </c>
      <c r="CX52">
        <f t="shared" ca="1" si="37"/>
        <v>359.32918535589749</v>
      </c>
      <c r="CY52">
        <f t="shared" ca="1" si="37"/>
        <v>360.29221184364792</v>
      </c>
      <c r="CZ52">
        <f t="shared" ca="1" si="37"/>
        <v>356.82053810778223</v>
      </c>
      <c r="DA52">
        <f t="shared" ca="1" si="37"/>
        <v>354.28894741896124</v>
      </c>
      <c r="DB52">
        <f t="shared" ca="1" si="37"/>
        <v>355.92937109920592</v>
      </c>
      <c r="DC52">
        <f t="shared" ca="1" si="37"/>
        <v>355.39794424022494</v>
      </c>
      <c r="DD52">
        <f t="shared" ca="1" si="37"/>
        <v>354.37232111891291</v>
      </c>
      <c r="DE52">
        <f t="shared" ca="1" si="37"/>
        <v>356.3746519962537</v>
      </c>
      <c r="DF52">
        <f t="shared" ca="1" si="37"/>
        <v>357.51495146869263</v>
      </c>
      <c r="DG52">
        <f t="shared" ca="1" si="37"/>
        <v>354.61051460279151</v>
      </c>
    </row>
    <row r="53" spans="1:111">
      <c r="A53" s="2">
        <v>46001</v>
      </c>
      <c r="B53">
        <v>278.02325439453119</v>
      </c>
      <c r="C53">
        <f t="shared" si="0"/>
        <v>2.4997481340078799E-3</v>
      </c>
      <c r="J53">
        <v>5</v>
      </c>
      <c r="K53">
        <f t="shared" si="39"/>
        <v>333.01998901367188</v>
      </c>
      <c r="L53">
        <f t="shared" ca="1" si="38"/>
        <v>334.10977652450379</v>
      </c>
      <c r="M53">
        <f t="shared" ca="1" si="40"/>
        <v>331.63737419374507</v>
      </c>
      <c r="N53">
        <f t="shared" ca="1" si="40"/>
        <v>333.97622376816918</v>
      </c>
      <c r="O53">
        <f t="shared" ca="1" si="40"/>
        <v>333.06894118410298</v>
      </c>
      <c r="P53">
        <f t="shared" ca="1" si="40"/>
        <v>333.05132859629282</v>
      </c>
      <c r="Q53">
        <f t="shared" ca="1" si="40"/>
        <v>332.76013928007347</v>
      </c>
      <c r="R53">
        <f t="shared" ca="1" si="40"/>
        <v>330.84682081650044</v>
      </c>
      <c r="S53">
        <f t="shared" ca="1" si="40"/>
        <v>334.56943863131346</v>
      </c>
      <c r="T53">
        <f t="shared" ca="1" si="40"/>
        <v>333.48872545473768</v>
      </c>
      <c r="U53">
        <f t="shared" ca="1" si="40"/>
        <v>329.40032741100799</v>
      </c>
      <c r="V53">
        <f t="shared" ca="1" si="40"/>
        <v>326.56060264283752</v>
      </c>
      <c r="W53">
        <f t="shared" ca="1" si="40"/>
        <v>325.95008560793076</v>
      </c>
      <c r="X53">
        <f t="shared" ca="1" si="40"/>
        <v>325.63597154512649</v>
      </c>
      <c r="Y53">
        <f t="shared" ca="1" si="40"/>
        <v>323.18164098667364</v>
      </c>
      <c r="Z53">
        <f t="shared" ca="1" si="40"/>
        <v>323.09547218759752</v>
      </c>
      <c r="AA53">
        <f t="shared" ca="1" si="40"/>
        <v>321.87093942964918</v>
      </c>
      <c r="AB53">
        <f t="shared" ca="1" si="40"/>
        <v>320.47209000669631</v>
      </c>
      <c r="AC53">
        <f t="shared" ca="1" si="40"/>
        <v>321.59109439252939</v>
      </c>
      <c r="AD53">
        <f t="shared" ca="1" si="40"/>
        <v>324.85825318550297</v>
      </c>
      <c r="AE53">
        <f t="shared" ca="1" si="40"/>
        <v>324.98634090056049</v>
      </c>
      <c r="AF53">
        <f t="shared" ca="1" si="40"/>
        <v>324.41376200839545</v>
      </c>
      <c r="AG53">
        <f t="shared" ca="1" si="40"/>
        <v>325.29311414370488</v>
      </c>
      <c r="AH53">
        <f t="shared" ca="1" si="40"/>
        <v>329.23158715127948</v>
      </c>
      <c r="AI53">
        <f t="shared" ca="1" si="40"/>
        <v>331.51391579655376</v>
      </c>
      <c r="AJ53">
        <f t="shared" ca="1" si="40"/>
        <v>333.68836607778303</v>
      </c>
      <c r="AK53">
        <f t="shared" ca="1" si="40"/>
        <v>340.04183630565683</v>
      </c>
      <c r="AL53">
        <f t="shared" ca="1" si="40"/>
        <v>338.61443001996963</v>
      </c>
      <c r="AM53">
        <f t="shared" ca="1" si="40"/>
        <v>335.67974675998425</v>
      </c>
      <c r="AN53">
        <f t="shared" ca="1" si="40"/>
        <v>334.62747136462622</v>
      </c>
      <c r="AO53">
        <f t="shared" ca="1" si="40"/>
        <v>333.25710237194284</v>
      </c>
      <c r="AP53">
        <f t="shared" ca="1" si="40"/>
        <v>336.42913599531585</v>
      </c>
      <c r="AQ53">
        <f t="shared" ca="1" si="40"/>
        <v>335.23277121726073</v>
      </c>
      <c r="AR53">
        <f t="shared" ca="1" si="40"/>
        <v>335.52075488630686</v>
      </c>
      <c r="AS53">
        <f t="shared" ca="1" si="40"/>
        <v>339.8023792446059</v>
      </c>
      <c r="AT53">
        <f t="shared" ca="1" si="40"/>
        <v>339.8295765181295</v>
      </c>
      <c r="AU53">
        <f t="shared" ca="1" si="40"/>
        <v>340.21838479475906</v>
      </c>
      <c r="AV53">
        <f t="shared" ca="1" si="40"/>
        <v>338.98340338470325</v>
      </c>
      <c r="AW53">
        <f t="shared" ca="1" si="40"/>
        <v>338.07830779250759</v>
      </c>
      <c r="AX53">
        <f t="shared" ca="1" si="40"/>
        <v>340.0572176885816</v>
      </c>
      <c r="AY53">
        <f t="shared" ca="1" si="40"/>
        <v>339.99719210892692</v>
      </c>
      <c r="AZ53">
        <f t="shared" ca="1" si="40"/>
        <v>342.82606719134111</v>
      </c>
      <c r="BA53">
        <f t="shared" ca="1" si="40"/>
        <v>342.17531422940232</v>
      </c>
      <c r="BB53">
        <f t="shared" ca="1" si="40"/>
        <v>344.81149085926353</v>
      </c>
      <c r="BC53">
        <f t="shared" ca="1" si="40"/>
        <v>344.75693592302355</v>
      </c>
      <c r="BD53">
        <f t="shared" ca="1" si="40"/>
        <v>343.0620002640415</v>
      </c>
      <c r="BE53">
        <f t="shared" ca="1" si="40"/>
        <v>342.79825254812914</v>
      </c>
      <c r="BF53">
        <f t="shared" ca="1" si="40"/>
        <v>344.24253725103438</v>
      </c>
      <c r="BG53">
        <f t="shared" ca="1" si="40"/>
        <v>346.7116342801325</v>
      </c>
      <c r="BH53">
        <f t="shared" ca="1" si="40"/>
        <v>344.80358447341661</v>
      </c>
      <c r="BI53">
        <f t="shared" ca="1" si="40"/>
        <v>344.61292858561598</v>
      </c>
      <c r="BJ53">
        <f t="shared" ca="1" si="40"/>
        <v>340.23344247405606</v>
      </c>
      <c r="BK53">
        <f t="shared" ca="1" si="40"/>
        <v>340.46162747057468</v>
      </c>
      <c r="BL53">
        <f t="shared" ca="1" si="40"/>
        <v>342.03279511386478</v>
      </c>
      <c r="BM53">
        <f t="shared" ca="1" si="40"/>
        <v>340.02074047757282</v>
      </c>
      <c r="BN53">
        <f t="shared" ca="1" si="40"/>
        <v>337.35049481434254</v>
      </c>
      <c r="BO53">
        <f t="shared" ca="1" si="40"/>
        <v>336.94025107189179</v>
      </c>
      <c r="BP53">
        <f t="shared" ca="1" si="40"/>
        <v>339.25244383622623</v>
      </c>
      <c r="BQ53">
        <f t="shared" ca="1" si="40"/>
        <v>342.84683670505638</v>
      </c>
      <c r="BR53">
        <f t="shared" ca="1" si="40"/>
        <v>342.17773989744461</v>
      </c>
      <c r="BS53">
        <f t="shared" ca="1" si="40"/>
        <v>347.63695919204463</v>
      </c>
      <c r="BT53">
        <f t="shared" ca="1" si="40"/>
        <v>349.34884297369746</v>
      </c>
      <c r="BU53">
        <f t="shared" ca="1" si="40"/>
        <v>352.04130029537026</v>
      </c>
      <c r="BV53">
        <f t="shared" ca="1" si="40"/>
        <v>353.98447226225858</v>
      </c>
      <c r="BW53">
        <f t="shared" ca="1" si="40"/>
        <v>358.78454966410914</v>
      </c>
      <c r="BX53">
        <f t="shared" ca="1" si="40"/>
        <v>356.19515143903732</v>
      </c>
      <c r="BY53">
        <f t="shared" ca="1" si="37"/>
        <v>355.63743269274681</v>
      </c>
      <c r="BZ53">
        <f t="shared" ca="1" si="37"/>
        <v>350.6935000841051</v>
      </c>
      <c r="CA53">
        <f t="shared" ca="1" si="37"/>
        <v>352.55487339196651</v>
      </c>
      <c r="CB53">
        <f t="shared" ca="1" si="37"/>
        <v>349.94760631859316</v>
      </c>
      <c r="CC53">
        <f t="shared" ca="1" si="37"/>
        <v>345.85207596750428</v>
      </c>
      <c r="CD53">
        <f t="shared" ca="1" si="37"/>
        <v>344.73813344975872</v>
      </c>
      <c r="CE53">
        <f t="shared" ca="1" si="37"/>
        <v>342.58894356524382</v>
      </c>
      <c r="CF53">
        <f t="shared" ca="1" si="37"/>
        <v>340.48615663675105</v>
      </c>
      <c r="CG53">
        <f t="shared" ca="1" si="37"/>
        <v>340.51565373598464</v>
      </c>
      <c r="CH53">
        <f t="shared" ca="1" si="37"/>
        <v>342.25758347698405</v>
      </c>
      <c r="CI53">
        <f t="shared" ca="1" si="37"/>
        <v>338.23985370881763</v>
      </c>
      <c r="CJ53">
        <f t="shared" ca="1" si="37"/>
        <v>338.45007258267361</v>
      </c>
      <c r="CK53">
        <f t="shared" ca="1" si="37"/>
        <v>339.0699395152609</v>
      </c>
      <c r="CL53">
        <f t="shared" ca="1" si="37"/>
        <v>339.5054851339973</v>
      </c>
      <c r="CM53">
        <f t="shared" ca="1" si="37"/>
        <v>334.5074249860682</v>
      </c>
      <c r="CN53">
        <f t="shared" ca="1" si="37"/>
        <v>332.5575759352194</v>
      </c>
      <c r="CO53">
        <f t="shared" ca="1" si="37"/>
        <v>334.69471004195088</v>
      </c>
      <c r="CP53">
        <f t="shared" ca="1" si="37"/>
        <v>332.12774373784958</v>
      </c>
      <c r="CQ53">
        <f t="shared" ca="1" si="37"/>
        <v>334.45626857465157</v>
      </c>
      <c r="CR53">
        <f t="shared" ca="1" si="37"/>
        <v>331.32161076782415</v>
      </c>
      <c r="CS53">
        <f t="shared" ca="1" si="37"/>
        <v>334.46649060790531</v>
      </c>
      <c r="CT53">
        <f t="shared" ca="1" si="37"/>
        <v>332.91639129972293</v>
      </c>
      <c r="CU53">
        <f t="shared" ca="1" si="37"/>
        <v>334.77227311414782</v>
      </c>
      <c r="CV53">
        <f t="shared" ca="1" si="37"/>
        <v>335.37968731770729</v>
      </c>
      <c r="CW53">
        <f t="shared" ca="1" si="37"/>
        <v>334.61268546861942</v>
      </c>
      <c r="CX53">
        <f t="shared" ca="1" si="37"/>
        <v>335.04854343048771</v>
      </c>
      <c r="CY53">
        <f t="shared" ca="1" si="37"/>
        <v>335.71262185800907</v>
      </c>
      <c r="CZ53">
        <f t="shared" ca="1" si="37"/>
        <v>337.10776556069209</v>
      </c>
      <c r="DA53">
        <f t="shared" ca="1" si="37"/>
        <v>339.82596010325557</v>
      </c>
      <c r="DB53">
        <f t="shared" ca="1" si="37"/>
        <v>335.35946327269016</v>
      </c>
      <c r="DC53">
        <f t="shared" ca="1" si="37"/>
        <v>335.7952723294747</v>
      </c>
      <c r="DD53">
        <f t="shared" ca="1" si="37"/>
        <v>330.84803638485522</v>
      </c>
      <c r="DE53">
        <f t="shared" ca="1" si="37"/>
        <v>330.45617159236798</v>
      </c>
      <c r="DF53">
        <f t="shared" ca="1" si="37"/>
        <v>335.32662384098649</v>
      </c>
      <c r="DG53">
        <f t="shared" ca="1" si="37"/>
        <v>336.80118933197144</v>
      </c>
    </row>
    <row r="54" spans="1:111">
      <c r="A54" s="2">
        <v>46002</v>
      </c>
      <c r="B54">
        <v>277.2752685546875</v>
      </c>
      <c r="C54">
        <f t="shared" si="0"/>
        <v>-1.1699880544542749E-3</v>
      </c>
      <c r="J54">
        <v>6</v>
      </c>
      <c r="K54">
        <f t="shared" si="39"/>
        <v>333.01998901367188</v>
      </c>
      <c r="L54">
        <f t="shared" ca="1" si="38"/>
        <v>332.35929204383467</v>
      </c>
      <c r="M54">
        <f t="shared" ca="1" si="40"/>
        <v>337.04611971059154</v>
      </c>
      <c r="N54">
        <f t="shared" ca="1" si="40"/>
        <v>338.68622008545219</v>
      </c>
      <c r="O54">
        <f t="shared" ca="1" si="40"/>
        <v>340.34839268161454</v>
      </c>
      <c r="P54">
        <f t="shared" ca="1" si="40"/>
        <v>339.69391427106166</v>
      </c>
      <c r="Q54">
        <f t="shared" ca="1" si="40"/>
        <v>336.7105606066666</v>
      </c>
      <c r="R54">
        <f t="shared" ca="1" si="40"/>
        <v>335.79496569269895</v>
      </c>
      <c r="S54">
        <f t="shared" ca="1" si="40"/>
        <v>334.72827847682061</v>
      </c>
      <c r="T54">
        <f t="shared" ca="1" si="40"/>
        <v>333.41973668804343</v>
      </c>
      <c r="U54">
        <f t="shared" ca="1" si="40"/>
        <v>334.90846879525725</v>
      </c>
      <c r="V54">
        <f t="shared" ca="1" si="40"/>
        <v>333.3321702406144</v>
      </c>
      <c r="W54">
        <f t="shared" ca="1" si="40"/>
        <v>331.58452889820262</v>
      </c>
      <c r="X54">
        <f t="shared" ca="1" si="40"/>
        <v>333.75521372701235</v>
      </c>
      <c r="Y54">
        <f t="shared" ca="1" si="40"/>
        <v>338.27781635649097</v>
      </c>
      <c r="Z54">
        <f t="shared" ca="1" si="40"/>
        <v>339.64224210492074</v>
      </c>
      <c r="AA54">
        <f t="shared" ca="1" si="40"/>
        <v>342.30760582091023</v>
      </c>
      <c r="AB54">
        <f t="shared" ca="1" si="40"/>
        <v>341.61699569349918</v>
      </c>
      <c r="AC54">
        <f t="shared" ca="1" si="40"/>
        <v>344.74563307569417</v>
      </c>
      <c r="AD54">
        <f t="shared" ca="1" si="40"/>
        <v>350.08812905474394</v>
      </c>
      <c r="AE54">
        <f t="shared" ca="1" si="40"/>
        <v>355.15104120709833</v>
      </c>
      <c r="AF54">
        <f t="shared" ca="1" si="40"/>
        <v>356.77300484723935</v>
      </c>
      <c r="AG54">
        <f t="shared" ca="1" si="40"/>
        <v>360.81118873014543</v>
      </c>
      <c r="AH54">
        <f t="shared" ca="1" si="40"/>
        <v>364.49075727237482</v>
      </c>
      <c r="AI54">
        <f t="shared" ca="1" si="40"/>
        <v>370.40732245424459</v>
      </c>
      <c r="AJ54">
        <f t="shared" ca="1" si="40"/>
        <v>372.974611630921</v>
      </c>
      <c r="AK54">
        <f t="shared" ca="1" si="40"/>
        <v>372.98039040862972</v>
      </c>
      <c r="AL54">
        <f t="shared" ca="1" si="40"/>
        <v>369.63853043087857</v>
      </c>
      <c r="AM54">
        <f t="shared" ca="1" si="40"/>
        <v>366.77561081227827</v>
      </c>
      <c r="AN54">
        <f t="shared" ca="1" si="40"/>
        <v>368.15312820096557</v>
      </c>
      <c r="AO54">
        <f t="shared" ca="1" si="40"/>
        <v>367.08360403283564</v>
      </c>
      <c r="AP54">
        <f t="shared" ca="1" si="40"/>
        <v>365.39066693759753</v>
      </c>
      <c r="AQ54">
        <f t="shared" ca="1" si="40"/>
        <v>362.57572360480231</v>
      </c>
      <c r="AR54">
        <f t="shared" ca="1" si="40"/>
        <v>363.46048645851391</v>
      </c>
      <c r="AS54">
        <f t="shared" ca="1" si="40"/>
        <v>359.47380944728644</v>
      </c>
      <c r="AT54">
        <f t="shared" ca="1" si="40"/>
        <v>360.92886474301247</v>
      </c>
      <c r="AU54">
        <f t="shared" ca="1" si="40"/>
        <v>360.60929714708726</v>
      </c>
      <c r="AV54">
        <f t="shared" ca="1" si="40"/>
        <v>358.40202133589867</v>
      </c>
      <c r="AW54">
        <f t="shared" ca="1" si="40"/>
        <v>358.59846195652682</v>
      </c>
      <c r="AX54">
        <f t="shared" ca="1" si="40"/>
        <v>356.30783086560984</v>
      </c>
      <c r="AY54">
        <f t="shared" ca="1" si="40"/>
        <v>359.80399106964938</v>
      </c>
      <c r="AZ54">
        <f t="shared" ca="1" si="40"/>
        <v>360.75516547979424</v>
      </c>
      <c r="BA54">
        <f t="shared" ca="1" si="40"/>
        <v>360.10235458833438</v>
      </c>
      <c r="BB54">
        <f t="shared" ca="1" si="40"/>
        <v>360.85533616082807</v>
      </c>
      <c r="BC54">
        <f t="shared" ca="1" si="40"/>
        <v>359.38508022782656</v>
      </c>
      <c r="BD54">
        <f t="shared" ca="1" si="40"/>
        <v>356.7496778371804</v>
      </c>
      <c r="BE54">
        <f t="shared" ca="1" si="40"/>
        <v>358.15354685252026</v>
      </c>
      <c r="BF54">
        <f t="shared" ca="1" si="40"/>
        <v>359.50430402048107</v>
      </c>
      <c r="BG54">
        <f t="shared" ca="1" si="40"/>
        <v>359.54022835821632</v>
      </c>
      <c r="BH54">
        <f t="shared" ca="1" si="40"/>
        <v>359.99476461017565</v>
      </c>
      <c r="BI54">
        <f t="shared" ca="1" si="40"/>
        <v>361.91466527544554</v>
      </c>
      <c r="BJ54">
        <f t="shared" ca="1" si="40"/>
        <v>361.60040276116388</v>
      </c>
      <c r="BK54">
        <f t="shared" ca="1" si="40"/>
        <v>364.74005971218855</v>
      </c>
      <c r="BL54">
        <f t="shared" ca="1" si="40"/>
        <v>364.96468688791657</v>
      </c>
      <c r="BM54">
        <f t="shared" ca="1" si="40"/>
        <v>366.87622813248782</v>
      </c>
      <c r="BN54">
        <f t="shared" ca="1" si="40"/>
        <v>369.07210077751023</v>
      </c>
      <c r="BO54">
        <f t="shared" ca="1" si="40"/>
        <v>369.36772341877617</v>
      </c>
      <c r="BP54">
        <f t="shared" ca="1" si="40"/>
        <v>365.88984182884536</v>
      </c>
      <c r="BQ54">
        <f t="shared" ca="1" si="40"/>
        <v>368.444678006836</v>
      </c>
      <c r="BR54">
        <f t="shared" ca="1" si="40"/>
        <v>365.84796804214898</v>
      </c>
      <c r="BS54">
        <f t="shared" ca="1" si="40"/>
        <v>367.24756163147828</v>
      </c>
      <c r="BT54">
        <f t="shared" ca="1" si="40"/>
        <v>370.88809042589639</v>
      </c>
      <c r="BU54">
        <f t="shared" ca="1" si="40"/>
        <v>369.31675414949228</v>
      </c>
      <c r="BV54">
        <f t="shared" ca="1" si="40"/>
        <v>367.4894045687638</v>
      </c>
      <c r="BW54">
        <f t="shared" ca="1" si="40"/>
        <v>364.14313081633128</v>
      </c>
      <c r="BX54">
        <f t="shared" ref="BX54:DG57" ca="1" si="41">BW54+BW54*$F$5*$G$10+BW54*$G$5*$G$11*NORMSINV(RAND())</f>
        <v>365.73846028366376</v>
      </c>
      <c r="BY54">
        <f t="shared" ca="1" si="41"/>
        <v>366.33088565876534</v>
      </c>
      <c r="BZ54">
        <f t="shared" ca="1" si="41"/>
        <v>363.15408131894657</v>
      </c>
      <c r="CA54">
        <f t="shared" ca="1" si="41"/>
        <v>361.13684222593082</v>
      </c>
      <c r="CB54">
        <f t="shared" ca="1" si="41"/>
        <v>362.77100259835316</v>
      </c>
      <c r="CC54">
        <f t="shared" ca="1" si="41"/>
        <v>366.97898234665837</v>
      </c>
      <c r="CD54">
        <f t="shared" ca="1" si="41"/>
        <v>367.47708266914276</v>
      </c>
      <c r="CE54">
        <f t="shared" ca="1" si="41"/>
        <v>365.89888982235942</v>
      </c>
      <c r="CF54">
        <f t="shared" ca="1" si="41"/>
        <v>369.80271282643167</v>
      </c>
      <c r="CG54">
        <f t="shared" ca="1" si="41"/>
        <v>365.53238722470877</v>
      </c>
      <c r="CH54">
        <f t="shared" ca="1" si="41"/>
        <v>364.71524952079125</v>
      </c>
      <c r="CI54">
        <f t="shared" ca="1" si="41"/>
        <v>367.17682774813852</v>
      </c>
      <c r="CJ54">
        <f t="shared" ca="1" si="41"/>
        <v>365.69352965781917</v>
      </c>
      <c r="CK54">
        <f t="shared" ca="1" si="41"/>
        <v>363.10038680762261</v>
      </c>
      <c r="CL54">
        <f t="shared" ca="1" si="41"/>
        <v>364.69552950709476</v>
      </c>
      <c r="CM54">
        <f t="shared" ca="1" si="41"/>
        <v>364.292929522208</v>
      </c>
      <c r="CN54">
        <f t="shared" ca="1" si="41"/>
        <v>366.74412786725264</v>
      </c>
      <c r="CO54">
        <f t="shared" ca="1" si="41"/>
        <v>366.38897231505865</v>
      </c>
      <c r="CP54">
        <f t="shared" ca="1" si="41"/>
        <v>365.60332611446768</v>
      </c>
      <c r="CQ54">
        <f t="shared" ca="1" si="41"/>
        <v>361.56077278507689</v>
      </c>
      <c r="CR54">
        <f t="shared" ca="1" si="41"/>
        <v>361.78729127484337</v>
      </c>
      <c r="CS54">
        <f t="shared" ca="1" si="41"/>
        <v>359.7950428233442</v>
      </c>
      <c r="CT54">
        <f t="shared" ca="1" si="41"/>
        <v>358.3353020758197</v>
      </c>
      <c r="CU54">
        <f t="shared" ca="1" si="41"/>
        <v>359.86498229895687</v>
      </c>
      <c r="CV54">
        <f t="shared" ca="1" si="41"/>
        <v>363.14480056682055</v>
      </c>
      <c r="CW54">
        <f t="shared" ca="1" si="41"/>
        <v>362.62068148892149</v>
      </c>
      <c r="CX54">
        <f t="shared" ca="1" si="41"/>
        <v>360.22734533552131</v>
      </c>
      <c r="CY54">
        <f t="shared" ca="1" si="41"/>
        <v>358.99236351681731</v>
      </c>
      <c r="CZ54">
        <f t="shared" ca="1" si="41"/>
        <v>356.18375867645466</v>
      </c>
      <c r="DA54">
        <f t="shared" ca="1" si="41"/>
        <v>358.6396732730401</v>
      </c>
      <c r="DB54">
        <f t="shared" ca="1" si="41"/>
        <v>353.24568896103398</v>
      </c>
      <c r="DC54">
        <f t="shared" ca="1" si="41"/>
        <v>355.47051470966096</v>
      </c>
      <c r="DD54">
        <f t="shared" ca="1" si="41"/>
        <v>353.70509210458113</v>
      </c>
      <c r="DE54">
        <f t="shared" ca="1" si="41"/>
        <v>354.84075565931971</v>
      </c>
      <c r="DF54">
        <f t="shared" ca="1" si="41"/>
        <v>353.33184280651858</v>
      </c>
      <c r="DG54">
        <f t="shared" ca="1" si="41"/>
        <v>353.47677309190084</v>
      </c>
    </row>
    <row r="55" spans="1:111">
      <c r="A55" s="2">
        <v>46003</v>
      </c>
      <c r="B55">
        <v>277.52462768554688</v>
      </c>
      <c r="C55">
        <f t="shared" si="0"/>
        <v>3.9039409549507654E-4</v>
      </c>
      <c r="J55">
        <v>7</v>
      </c>
      <c r="K55">
        <f t="shared" si="39"/>
        <v>333.01998901367188</v>
      </c>
      <c r="L55">
        <f t="shared" ca="1" si="38"/>
        <v>333.74504243298935</v>
      </c>
      <c r="M55">
        <f t="shared" ref="M55:BX58" ca="1" si="42">L55+L55*$F$5*$G$10+L55*$G$5*$G$11*NORMSINV(RAND())</f>
        <v>332.34166536954336</v>
      </c>
      <c r="N55">
        <f t="shared" ca="1" si="42"/>
        <v>335.29414450842648</v>
      </c>
      <c r="O55">
        <f t="shared" ca="1" si="42"/>
        <v>334.10069986637541</v>
      </c>
      <c r="P55">
        <f t="shared" ca="1" si="42"/>
        <v>335.3605315777038</v>
      </c>
      <c r="Q55">
        <f t="shared" ca="1" si="42"/>
        <v>335.27647286722998</v>
      </c>
      <c r="R55">
        <f t="shared" ca="1" si="42"/>
        <v>336.02079705974779</v>
      </c>
      <c r="S55">
        <f t="shared" ca="1" si="42"/>
        <v>339.11596064042516</v>
      </c>
      <c r="T55">
        <f t="shared" ca="1" si="42"/>
        <v>342.64434788314651</v>
      </c>
      <c r="U55">
        <f t="shared" ca="1" si="42"/>
        <v>346.25697014525736</v>
      </c>
      <c r="V55">
        <f t="shared" ca="1" si="42"/>
        <v>343.23717412003572</v>
      </c>
      <c r="W55">
        <f t="shared" ca="1" si="42"/>
        <v>339.61128711477573</v>
      </c>
      <c r="X55">
        <f t="shared" ca="1" si="42"/>
        <v>337.3333253357124</v>
      </c>
      <c r="Y55">
        <f t="shared" ca="1" si="42"/>
        <v>339.01241982690709</v>
      </c>
      <c r="Z55">
        <f t="shared" ca="1" si="42"/>
        <v>337.72065517691783</v>
      </c>
      <c r="AA55">
        <f t="shared" ca="1" si="42"/>
        <v>338.88312223895599</v>
      </c>
      <c r="AB55">
        <f t="shared" ca="1" si="42"/>
        <v>338.46138107669134</v>
      </c>
      <c r="AC55">
        <f t="shared" ca="1" si="42"/>
        <v>340.52111793515905</v>
      </c>
      <c r="AD55">
        <f t="shared" ca="1" si="42"/>
        <v>344.84291052530801</v>
      </c>
      <c r="AE55">
        <f t="shared" ca="1" si="42"/>
        <v>345.83744720307197</v>
      </c>
      <c r="AF55">
        <f t="shared" ca="1" si="42"/>
        <v>345.51751233827014</v>
      </c>
      <c r="AG55">
        <f t="shared" ca="1" si="42"/>
        <v>349.84146146125579</v>
      </c>
      <c r="AH55">
        <f t="shared" ca="1" si="42"/>
        <v>347.97924949391899</v>
      </c>
      <c r="AI55">
        <f t="shared" ca="1" si="42"/>
        <v>351.36447491279068</v>
      </c>
      <c r="AJ55">
        <f t="shared" ca="1" si="42"/>
        <v>350.99629997170291</v>
      </c>
      <c r="AK55">
        <f t="shared" ca="1" si="42"/>
        <v>353.29319424922409</v>
      </c>
      <c r="AL55">
        <f t="shared" ca="1" si="42"/>
        <v>352.74651660753176</v>
      </c>
      <c r="AM55">
        <f t="shared" ca="1" si="42"/>
        <v>353.85377294573431</v>
      </c>
      <c r="AN55">
        <f t="shared" ca="1" si="42"/>
        <v>357.40432747477564</v>
      </c>
      <c r="AO55">
        <f t="shared" ca="1" si="42"/>
        <v>356.51436920070006</v>
      </c>
      <c r="AP55">
        <f t="shared" ca="1" si="42"/>
        <v>359.77483243026933</v>
      </c>
      <c r="AQ55">
        <f t="shared" ca="1" si="42"/>
        <v>360.29160473317216</v>
      </c>
      <c r="AR55">
        <f t="shared" ca="1" si="42"/>
        <v>361.29230045469438</v>
      </c>
      <c r="AS55">
        <f t="shared" ca="1" si="42"/>
        <v>357.10395119750552</v>
      </c>
      <c r="AT55">
        <f t="shared" ca="1" si="42"/>
        <v>359.46950567345613</v>
      </c>
      <c r="AU55">
        <f t="shared" ca="1" si="42"/>
        <v>361.02496839412373</v>
      </c>
      <c r="AV55">
        <f t="shared" ca="1" si="42"/>
        <v>359.83090336790013</v>
      </c>
      <c r="AW55">
        <f t="shared" ca="1" si="42"/>
        <v>358.55836451843072</v>
      </c>
      <c r="AX55">
        <f t="shared" ca="1" si="42"/>
        <v>358.45411256785275</v>
      </c>
      <c r="AY55">
        <f t="shared" ca="1" si="42"/>
        <v>357.13857449754846</v>
      </c>
      <c r="AZ55">
        <f t="shared" ca="1" si="42"/>
        <v>358.06044837160493</v>
      </c>
      <c r="BA55">
        <f t="shared" ca="1" si="42"/>
        <v>357.58872560220175</v>
      </c>
      <c r="BB55">
        <f t="shared" ca="1" si="42"/>
        <v>355.21155997647958</v>
      </c>
      <c r="BC55">
        <f t="shared" ca="1" si="42"/>
        <v>354.74904265151645</v>
      </c>
      <c r="BD55">
        <f t="shared" ca="1" si="42"/>
        <v>356.36713632614521</v>
      </c>
      <c r="BE55">
        <f t="shared" ca="1" si="42"/>
        <v>356.69824998881995</v>
      </c>
      <c r="BF55">
        <f t="shared" ca="1" si="42"/>
        <v>358.27558153105292</v>
      </c>
      <c r="BG55">
        <f t="shared" ca="1" si="42"/>
        <v>356.03255362441138</v>
      </c>
      <c r="BH55">
        <f t="shared" ca="1" si="42"/>
        <v>356.71250502037611</v>
      </c>
      <c r="BI55">
        <f t="shared" ca="1" si="42"/>
        <v>355.23574913182193</v>
      </c>
      <c r="BJ55">
        <f t="shared" ca="1" si="42"/>
        <v>359.14594110438861</v>
      </c>
      <c r="BK55">
        <f t="shared" ca="1" si="42"/>
        <v>357.56704954129333</v>
      </c>
      <c r="BL55">
        <f t="shared" ca="1" si="42"/>
        <v>355.51790366811758</v>
      </c>
      <c r="BM55">
        <f t="shared" ca="1" si="42"/>
        <v>354.70892614679258</v>
      </c>
      <c r="BN55">
        <f t="shared" ca="1" si="42"/>
        <v>357.80833846895445</v>
      </c>
      <c r="BO55">
        <f t="shared" ca="1" si="42"/>
        <v>353.56080501854228</v>
      </c>
      <c r="BP55">
        <f t="shared" ca="1" si="42"/>
        <v>357.3438945701642</v>
      </c>
      <c r="BQ55">
        <f t="shared" ca="1" si="42"/>
        <v>355.16286532611684</v>
      </c>
      <c r="BR55">
        <f t="shared" ca="1" si="42"/>
        <v>353.9040668367349</v>
      </c>
      <c r="BS55">
        <f t="shared" ca="1" si="42"/>
        <v>354.0393928633257</v>
      </c>
      <c r="BT55">
        <f t="shared" ca="1" si="42"/>
        <v>348.27433030815178</v>
      </c>
      <c r="BU55">
        <f t="shared" ca="1" si="42"/>
        <v>351.49520246270913</v>
      </c>
      <c r="BV55">
        <f t="shared" ca="1" si="42"/>
        <v>346.96463416208485</v>
      </c>
      <c r="BW55">
        <f t="shared" ca="1" si="42"/>
        <v>352.09946197793317</v>
      </c>
      <c r="BX55">
        <f t="shared" ca="1" si="42"/>
        <v>349.83105341992615</v>
      </c>
      <c r="BY55">
        <f t="shared" ca="1" si="41"/>
        <v>349.78522871725312</v>
      </c>
      <c r="BZ55">
        <f t="shared" ca="1" si="41"/>
        <v>347.29005115437633</v>
      </c>
      <c r="CA55">
        <f t="shared" ca="1" si="41"/>
        <v>347.44098100165019</v>
      </c>
      <c r="CB55">
        <f t="shared" ca="1" si="41"/>
        <v>343.66730707794534</v>
      </c>
      <c r="CC55">
        <f t="shared" ca="1" si="41"/>
        <v>346.37255634874873</v>
      </c>
      <c r="CD55">
        <f t="shared" ca="1" si="41"/>
        <v>349.57071383178464</v>
      </c>
      <c r="CE55">
        <f t="shared" ca="1" si="41"/>
        <v>351.00691111468024</v>
      </c>
      <c r="CF55">
        <f t="shared" ca="1" si="41"/>
        <v>349.97895036312576</v>
      </c>
      <c r="CG55">
        <f t="shared" ca="1" si="41"/>
        <v>348.76423143960972</v>
      </c>
      <c r="CH55">
        <f t="shared" ca="1" si="41"/>
        <v>346.89850804010797</v>
      </c>
      <c r="CI55">
        <f t="shared" ca="1" si="41"/>
        <v>343.93963262154074</v>
      </c>
      <c r="CJ55">
        <f t="shared" ca="1" si="41"/>
        <v>343.08015899162365</v>
      </c>
      <c r="CK55">
        <f t="shared" ca="1" si="41"/>
        <v>340.46517113370783</v>
      </c>
      <c r="CL55">
        <f t="shared" ca="1" si="41"/>
        <v>338.22430769249678</v>
      </c>
      <c r="CM55">
        <f t="shared" ca="1" si="41"/>
        <v>337.51798884612788</v>
      </c>
      <c r="CN55">
        <f t="shared" ca="1" si="41"/>
        <v>335.10170638660628</v>
      </c>
      <c r="CO55">
        <f t="shared" ca="1" si="41"/>
        <v>338.13147103309211</v>
      </c>
      <c r="CP55">
        <f t="shared" ca="1" si="41"/>
        <v>340.54006869779778</v>
      </c>
      <c r="CQ55">
        <f t="shared" ca="1" si="41"/>
        <v>338.19215754089095</v>
      </c>
      <c r="CR55">
        <f t="shared" ca="1" si="41"/>
        <v>342.28045375828145</v>
      </c>
      <c r="CS55">
        <f t="shared" ca="1" si="41"/>
        <v>345.98484741906196</v>
      </c>
      <c r="CT55">
        <f t="shared" ca="1" si="41"/>
        <v>345.61236398784484</v>
      </c>
      <c r="CU55">
        <f t="shared" ca="1" si="41"/>
        <v>346.40086556694422</v>
      </c>
      <c r="CV55">
        <f t="shared" ca="1" si="41"/>
        <v>348.76604052464182</v>
      </c>
      <c r="CW55">
        <f t="shared" ca="1" si="41"/>
        <v>351.03136924081804</v>
      </c>
      <c r="CX55">
        <f t="shared" ca="1" si="41"/>
        <v>350.01321821509413</v>
      </c>
      <c r="CY55">
        <f t="shared" ca="1" si="41"/>
        <v>351.74190721024604</v>
      </c>
      <c r="CZ55">
        <f t="shared" ca="1" si="41"/>
        <v>351.70389943556228</v>
      </c>
      <c r="DA55">
        <f t="shared" ca="1" si="41"/>
        <v>349.68109202019468</v>
      </c>
      <c r="DB55">
        <f t="shared" ca="1" si="41"/>
        <v>348.64455545907521</v>
      </c>
      <c r="DC55">
        <f t="shared" ca="1" si="41"/>
        <v>345.91026214483327</v>
      </c>
      <c r="DD55">
        <f t="shared" ca="1" si="41"/>
        <v>344.917647846357</v>
      </c>
      <c r="DE55">
        <f t="shared" ca="1" si="41"/>
        <v>343.87249183969692</v>
      </c>
      <c r="DF55">
        <f t="shared" ca="1" si="41"/>
        <v>343.87378006562227</v>
      </c>
      <c r="DG55">
        <f t="shared" ca="1" si="41"/>
        <v>341.66030504212864</v>
      </c>
    </row>
    <row r="56" spans="1:111">
      <c r="A56" s="2">
        <v>46006</v>
      </c>
      <c r="B56">
        <v>273.36587524414063</v>
      </c>
      <c r="C56">
        <f t="shared" si="0"/>
        <v>-6.5572288451127472E-3</v>
      </c>
      <c r="J56">
        <v>8</v>
      </c>
      <c r="K56">
        <f t="shared" si="39"/>
        <v>333.01998901367188</v>
      </c>
      <c r="L56">
        <f t="shared" ca="1" si="38"/>
        <v>335.80474607051167</v>
      </c>
      <c r="M56">
        <f t="shared" ca="1" si="42"/>
        <v>334.85743126018519</v>
      </c>
      <c r="N56">
        <f t="shared" ca="1" si="42"/>
        <v>336.46840203606109</v>
      </c>
      <c r="O56">
        <f t="shared" ca="1" si="42"/>
        <v>340.08202751633627</v>
      </c>
      <c r="P56">
        <f t="shared" ca="1" si="42"/>
        <v>334.17095743715953</v>
      </c>
      <c r="Q56">
        <f t="shared" ca="1" si="42"/>
        <v>332.7132039727727</v>
      </c>
      <c r="R56">
        <f t="shared" ca="1" si="42"/>
        <v>332.6832167020649</v>
      </c>
      <c r="S56">
        <f t="shared" ca="1" si="42"/>
        <v>331.45957719604365</v>
      </c>
      <c r="T56">
        <f t="shared" ca="1" si="42"/>
        <v>331.42338351161101</v>
      </c>
      <c r="U56">
        <f t="shared" ca="1" si="42"/>
        <v>331.27742502661749</v>
      </c>
      <c r="V56">
        <f t="shared" ca="1" si="42"/>
        <v>333.46020580849756</v>
      </c>
      <c r="W56">
        <f t="shared" ca="1" si="42"/>
        <v>334.35369021898055</v>
      </c>
      <c r="X56">
        <f t="shared" ca="1" si="42"/>
        <v>338.21300820425512</v>
      </c>
      <c r="Y56">
        <f t="shared" ca="1" si="42"/>
        <v>338.76723555007823</v>
      </c>
      <c r="Z56">
        <f t="shared" ca="1" si="42"/>
        <v>338.58177716987439</v>
      </c>
      <c r="AA56">
        <f t="shared" ca="1" si="42"/>
        <v>336.77053222238857</v>
      </c>
      <c r="AB56">
        <f t="shared" ca="1" si="42"/>
        <v>334.45492476836671</v>
      </c>
      <c r="AC56">
        <f t="shared" ca="1" si="42"/>
        <v>336.41687161226173</v>
      </c>
      <c r="AD56">
        <f t="shared" ca="1" si="42"/>
        <v>337.90514327504189</v>
      </c>
      <c r="AE56">
        <f t="shared" ca="1" si="42"/>
        <v>338.62419854035033</v>
      </c>
      <c r="AF56">
        <f t="shared" ca="1" si="42"/>
        <v>339.86043542446538</v>
      </c>
      <c r="AG56">
        <f t="shared" ca="1" si="42"/>
        <v>344.92031341167677</v>
      </c>
      <c r="AH56">
        <f t="shared" ca="1" si="42"/>
        <v>339.87376792399334</v>
      </c>
      <c r="AI56">
        <f t="shared" ca="1" si="42"/>
        <v>335.99959971659928</v>
      </c>
      <c r="AJ56">
        <f t="shared" ca="1" si="42"/>
        <v>337.60195324534368</v>
      </c>
      <c r="AK56">
        <f t="shared" ca="1" si="42"/>
        <v>338.77585548702285</v>
      </c>
      <c r="AL56">
        <f t="shared" ca="1" si="42"/>
        <v>340.33583673053391</v>
      </c>
      <c r="AM56">
        <f t="shared" ca="1" si="42"/>
        <v>342.69603056483953</v>
      </c>
      <c r="AN56">
        <f t="shared" ca="1" si="42"/>
        <v>338.726908389431</v>
      </c>
      <c r="AO56">
        <f t="shared" ca="1" si="42"/>
        <v>336.46818878192619</v>
      </c>
      <c r="AP56">
        <f t="shared" ca="1" si="42"/>
        <v>340.13982222714804</v>
      </c>
      <c r="AQ56">
        <f t="shared" ca="1" si="42"/>
        <v>340.67905102691685</v>
      </c>
      <c r="AR56">
        <f t="shared" ca="1" si="42"/>
        <v>338.79149091099066</v>
      </c>
      <c r="AS56">
        <f t="shared" ca="1" si="42"/>
        <v>336.86060688946162</v>
      </c>
      <c r="AT56">
        <f t="shared" ca="1" si="42"/>
        <v>343.2182644386022</v>
      </c>
      <c r="AU56">
        <f t="shared" ca="1" si="42"/>
        <v>342.43076844994386</v>
      </c>
      <c r="AV56">
        <f t="shared" ca="1" si="42"/>
        <v>342.22432053502405</v>
      </c>
      <c r="AW56">
        <f t="shared" ca="1" si="42"/>
        <v>342.1265288188834</v>
      </c>
      <c r="AX56">
        <f t="shared" ca="1" si="42"/>
        <v>341.97224848471654</v>
      </c>
      <c r="AY56">
        <f t="shared" ca="1" si="42"/>
        <v>339.64014103229613</v>
      </c>
      <c r="AZ56">
        <f t="shared" ca="1" si="42"/>
        <v>333.80014917397426</v>
      </c>
      <c r="BA56">
        <f t="shared" ca="1" si="42"/>
        <v>335.32007574499539</v>
      </c>
      <c r="BB56">
        <f t="shared" ca="1" si="42"/>
        <v>341.90842874827945</v>
      </c>
      <c r="BC56">
        <f t="shared" ca="1" si="42"/>
        <v>340.48680892776065</v>
      </c>
      <c r="BD56">
        <f t="shared" ca="1" si="42"/>
        <v>340.15192055189942</v>
      </c>
      <c r="BE56">
        <f t="shared" ca="1" si="42"/>
        <v>338.87558399206222</v>
      </c>
      <c r="BF56">
        <f t="shared" ca="1" si="42"/>
        <v>338.03435920745181</v>
      </c>
      <c r="BG56">
        <f t="shared" ca="1" si="42"/>
        <v>340.20501389527499</v>
      </c>
      <c r="BH56">
        <f t="shared" ca="1" si="42"/>
        <v>337.27939898221274</v>
      </c>
      <c r="BI56">
        <f t="shared" ca="1" si="42"/>
        <v>338.91449166810804</v>
      </c>
      <c r="BJ56">
        <f t="shared" ca="1" si="42"/>
        <v>342.60192799321584</v>
      </c>
      <c r="BK56">
        <f t="shared" ca="1" si="42"/>
        <v>343.38416971437834</v>
      </c>
      <c r="BL56">
        <f t="shared" ca="1" si="42"/>
        <v>339.64213060377415</v>
      </c>
      <c r="BM56">
        <f t="shared" ca="1" si="42"/>
        <v>337.48297881284111</v>
      </c>
      <c r="BN56">
        <f t="shared" ca="1" si="42"/>
        <v>336.11064991545067</v>
      </c>
      <c r="BO56">
        <f t="shared" ca="1" si="42"/>
        <v>337.12120856232002</v>
      </c>
      <c r="BP56">
        <f t="shared" ca="1" si="42"/>
        <v>336.71352794336519</v>
      </c>
      <c r="BQ56">
        <f t="shared" ca="1" si="42"/>
        <v>336.43719486525504</v>
      </c>
      <c r="BR56">
        <f t="shared" ca="1" si="42"/>
        <v>333.93262217292897</v>
      </c>
      <c r="BS56">
        <f t="shared" ca="1" si="42"/>
        <v>332.65203726095825</v>
      </c>
      <c r="BT56">
        <f t="shared" ca="1" si="42"/>
        <v>334.5902282866769</v>
      </c>
      <c r="BU56">
        <f t="shared" ca="1" si="42"/>
        <v>334.91405460772853</v>
      </c>
      <c r="BV56">
        <f t="shared" ca="1" si="42"/>
        <v>331.30441406216607</v>
      </c>
      <c r="BW56">
        <f t="shared" ca="1" si="42"/>
        <v>331.21064622946875</v>
      </c>
      <c r="BX56">
        <f t="shared" ca="1" si="42"/>
        <v>331.32801007435251</v>
      </c>
      <c r="BY56">
        <f t="shared" ca="1" si="41"/>
        <v>330.05590154336164</v>
      </c>
      <c r="BZ56">
        <f t="shared" ca="1" si="41"/>
        <v>331.70725368769024</v>
      </c>
      <c r="CA56">
        <f t="shared" ca="1" si="41"/>
        <v>331.45064212470339</v>
      </c>
      <c r="CB56">
        <f t="shared" ca="1" si="41"/>
        <v>333.10930188282612</v>
      </c>
      <c r="CC56">
        <f t="shared" ca="1" si="41"/>
        <v>332.26506352888873</v>
      </c>
      <c r="CD56">
        <f t="shared" ca="1" si="41"/>
        <v>330.81168496735307</v>
      </c>
      <c r="CE56">
        <f t="shared" ca="1" si="41"/>
        <v>329.009711389247</v>
      </c>
      <c r="CF56">
        <f t="shared" ca="1" si="41"/>
        <v>330.59607967023635</v>
      </c>
      <c r="CG56">
        <f t="shared" ca="1" si="41"/>
        <v>333.38652830744326</v>
      </c>
      <c r="CH56">
        <f t="shared" ca="1" si="41"/>
        <v>330.69041064141629</v>
      </c>
      <c r="CI56">
        <f t="shared" ca="1" si="41"/>
        <v>330.32748050593341</v>
      </c>
      <c r="CJ56">
        <f t="shared" ca="1" si="41"/>
        <v>328.5963301571818</v>
      </c>
      <c r="CK56">
        <f t="shared" ca="1" si="41"/>
        <v>330.46943136465393</v>
      </c>
      <c r="CL56">
        <f t="shared" ca="1" si="41"/>
        <v>329.00742968913113</v>
      </c>
      <c r="CM56">
        <f t="shared" ca="1" si="41"/>
        <v>332.92365074573996</v>
      </c>
      <c r="CN56">
        <f t="shared" ca="1" si="41"/>
        <v>333.6492492710741</v>
      </c>
      <c r="CO56">
        <f t="shared" ca="1" si="41"/>
        <v>336.57924828664716</v>
      </c>
      <c r="CP56">
        <f t="shared" ca="1" si="41"/>
        <v>339.30787657198726</v>
      </c>
      <c r="CQ56">
        <f t="shared" ca="1" si="41"/>
        <v>335.59913054657761</v>
      </c>
      <c r="CR56">
        <f t="shared" ca="1" si="41"/>
        <v>333.53813877296676</v>
      </c>
      <c r="CS56">
        <f t="shared" ca="1" si="41"/>
        <v>332.94879889652026</v>
      </c>
      <c r="CT56">
        <f t="shared" ca="1" si="41"/>
        <v>333.83393328930481</v>
      </c>
      <c r="CU56">
        <f t="shared" ca="1" si="41"/>
        <v>333.18345606714092</v>
      </c>
      <c r="CV56">
        <f t="shared" ca="1" si="41"/>
        <v>335.03164548585642</v>
      </c>
      <c r="CW56">
        <f t="shared" ca="1" si="41"/>
        <v>335.30686205711424</v>
      </c>
      <c r="CX56">
        <f t="shared" ca="1" si="41"/>
        <v>331.98144920511419</v>
      </c>
      <c r="CY56">
        <f t="shared" ca="1" si="41"/>
        <v>331.42864610479404</v>
      </c>
      <c r="CZ56">
        <f t="shared" ca="1" si="41"/>
        <v>333.42969812478503</v>
      </c>
      <c r="DA56">
        <f t="shared" ca="1" si="41"/>
        <v>336.32433721155178</v>
      </c>
      <c r="DB56">
        <f t="shared" ca="1" si="41"/>
        <v>334.56347209082156</v>
      </c>
      <c r="DC56">
        <f t="shared" ca="1" si="41"/>
        <v>341.72488586690878</v>
      </c>
      <c r="DD56">
        <f t="shared" ca="1" si="41"/>
        <v>344.66368812689291</v>
      </c>
      <c r="DE56">
        <f t="shared" ca="1" si="41"/>
        <v>343.98380896624963</v>
      </c>
      <c r="DF56">
        <f t="shared" ca="1" si="41"/>
        <v>345.98568164948637</v>
      </c>
      <c r="DG56">
        <f t="shared" ca="1" si="41"/>
        <v>346.358304440734</v>
      </c>
    </row>
    <row r="57" spans="1:111">
      <c r="A57" s="2">
        <v>46007</v>
      </c>
      <c r="B57">
        <v>273.86453247070313</v>
      </c>
      <c r="C57">
        <f t="shared" si="0"/>
        <v>7.9149162307453301E-4</v>
      </c>
      <c r="J57">
        <v>9</v>
      </c>
      <c r="K57">
        <f t="shared" si="39"/>
        <v>333.01998901367188</v>
      </c>
      <c r="L57">
        <f t="shared" ca="1" si="38"/>
        <v>333.74805791051267</v>
      </c>
      <c r="M57">
        <f t="shared" ca="1" si="42"/>
        <v>337.46364685639628</v>
      </c>
      <c r="N57">
        <f t="shared" ca="1" si="42"/>
        <v>339.23664750626739</v>
      </c>
      <c r="O57">
        <f t="shared" ca="1" si="42"/>
        <v>341.72780915289195</v>
      </c>
      <c r="P57">
        <f t="shared" ca="1" si="42"/>
        <v>343.10580087434522</v>
      </c>
      <c r="Q57">
        <f t="shared" ca="1" si="42"/>
        <v>343.4848690775251</v>
      </c>
      <c r="R57">
        <f t="shared" ca="1" si="42"/>
        <v>346.05481303828509</v>
      </c>
      <c r="S57">
        <f t="shared" ca="1" si="42"/>
        <v>342.94974980469198</v>
      </c>
      <c r="T57">
        <f t="shared" ca="1" si="42"/>
        <v>342.46407856642185</v>
      </c>
      <c r="U57">
        <f t="shared" ca="1" si="42"/>
        <v>341.33252133037507</v>
      </c>
      <c r="V57">
        <f t="shared" ca="1" si="42"/>
        <v>341.43602288679415</v>
      </c>
      <c r="W57">
        <f t="shared" ca="1" si="42"/>
        <v>338.80663959819907</v>
      </c>
      <c r="X57">
        <f t="shared" ca="1" si="42"/>
        <v>338.61527214619974</v>
      </c>
      <c r="Y57">
        <f t="shared" ca="1" si="42"/>
        <v>338.84423776303242</v>
      </c>
      <c r="Z57">
        <f t="shared" ca="1" si="42"/>
        <v>335.39126519085562</v>
      </c>
      <c r="AA57">
        <f t="shared" ca="1" si="42"/>
        <v>338.6294509125338</v>
      </c>
      <c r="AB57">
        <f t="shared" ca="1" si="42"/>
        <v>342.49123429895042</v>
      </c>
      <c r="AC57">
        <f t="shared" ca="1" si="42"/>
        <v>343.56813604585204</v>
      </c>
      <c r="AD57">
        <f t="shared" ca="1" si="42"/>
        <v>342.36600670787954</v>
      </c>
      <c r="AE57">
        <f t="shared" ca="1" si="42"/>
        <v>344.90646292766257</v>
      </c>
      <c r="AF57">
        <f t="shared" ca="1" si="42"/>
        <v>340.933185543116</v>
      </c>
      <c r="AG57">
        <f t="shared" ca="1" si="42"/>
        <v>341.32796805329684</v>
      </c>
      <c r="AH57">
        <f t="shared" ca="1" si="42"/>
        <v>339.92358404540209</v>
      </c>
      <c r="AI57">
        <f t="shared" ca="1" si="42"/>
        <v>339.29281171126212</v>
      </c>
      <c r="AJ57">
        <f t="shared" ca="1" si="42"/>
        <v>339.07751011339877</v>
      </c>
      <c r="AK57">
        <f t="shared" ca="1" si="42"/>
        <v>341.82006601159247</v>
      </c>
      <c r="AL57">
        <f t="shared" ca="1" si="42"/>
        <v>343.51515511619033</v>
      </c>
      <c r="AM57">
        <f t="shared" ca="1" si="42"/>
        <v>340.85393074105986</v>
      </c>
      <c r="AN57">
        <f t="shared" ca="1" si="42"/>
        <v>340.86880297974142</v>
      </c>
      <c r="AO57">
        <f t="shared" ca="1" si="42"/>
        <v>344.53680380739326</v>
      </c>
      <c r="AP57">
        <f t="shared" ca="1" si="42"/>
        <v>344.22447983909751</v>
      </c>
      <c r="AQ57">
        <f t="shared" ca="1" si="42"/>
        <v>342.20218494294932</v>
      </c>
      <c r="AR57">
        <f t="shared" ca="1" si="42"/>
        <v>346.3138552667923</v>
      </c>
      <c r="AS57">
        <f t="shared" ca="1" si="42"/>
        <v>346.75634395991443</v>
      </c>
      <c r="AT57">
        <f t="shared" ca="1" si="42"/>
        <v>348.52564510451299</v>
      </c>
      <c r="AU57">
        <f t="shared" ca="1" si="42"/>
        <v>348.837903262559</v>
      </c>
      <c r="AV57">
        <f t="shared" ca="1" si="42"/>
        <v>348.87253811844948</v>
      </c>
      <c r="AW57">
        <f t="shared" ca="1" si="42"/>
        <v>347.22059542254726</v>
      </c>
      <c r="AX57">
        <f t="shared" ca="1" si="42"/>
        <v>340.68386930998673</v>
      </c>
      <c r="AY57">
        <f t="shared" ca="1" si="42"/>
        <v>343.47865051665968</v>
      </c>
      <c r="AZ57">
        <f t="shared" ca="1" si="42"/>
        <v>345.03669800557452</v>
      </c>
      <c r="BA57">
        <f t="shared" ca="1" si="42"/>
        <v>343.02078172585743</v>
      </c>
      <c r="BB57">
        <f t="shared" ca="1" si="42"/>
        <v>342.92820518914903</v>
      </c>
      <c r="BC57">
        <f t="shared" ca="1" si="42"/>
        <v>343.6925014311916</v>
      </c>
      <c r="BD57">
        <f t="shared" ca="1" si="42"/>
        <v>343.80340305027647</v>
      </c>
      <c r="BE57">
        <f t="shared" ca="1" si="42"/>
        <v>341.76443126175593</v>
      </c>
      <c r="BF57">
        <f t="shared" ca="1" si="42"/>
        <v>343.79942333088633</v>
      </c>
      <c r="BG57">
        <f t="shared" ca="1" si="42"/>
        <v>347.0060154941487</v>
      </c>
      <c r="BH57">
        <f t="shared" ca="1" si="42"/>
        <v>348.92624722988057</v>
      </c>
      <c r="BI57">
        <f t="shared" ca="1" si="42"/>
        <v>347.6732562143871</v>
      </c>
      <c r="BJ57">
        <f t="shared" ca="1" si="42"/>
        <v>342.93462364054028</v>
      </c>
      <c r="BK57">
        <f t="shared" ca="1" si="42"/>
        <v>341.06730717776799</v>
      </c>
      <c r="BL57">
        <f t="shared" ca="1" si="42"/>
        <v>342.28471249127267</v>
      </c>
      <c r="BM57">
        <f t="shared" ca="1" si="42"/>
        <v>341.93542193685829</v>
      </c>
      <c r="BN57">
        <f t="shared" ca="1" si="42"/>
        <v>339.26332733010162</v>
      </c>
      <c r="BO57">
        <f t="shared" ca="1" si="42"/>
        <v>339.90238343538448</v>
      </c>
      <c r="BP57">
        <f t="shared" ca="1" si="42"/>
        <v>332.22946974017202</v>
      </c>
      <c r="BQ57">
        <f t="shared" ca="1" si="42"/>
        <v>331.24052174843433</v>
      </c>
      <c r="BR57">
        <f t="shared" ca="1" si="42"/>
        <v>331.03445366558412</v>
      </c>
      <c r="BS57">
        <f t="shared" ca="1" si="42"/>
        <v>330.06654746475908</v>
      </c>
      <c r="BT57">
        <f t="shared" ca="1" si="42"/>
        <v>331.11576222964084</v>
      </c>
      <c r="BU57">
        <f t="shared" ca="1" si="42"/>
        <v>330.99555472220044</v>
      </c>
      <c r="BV57">
        <f t="shared" ca="1" si="42"/>
        <v>329.09753095240194</v>
      </c>
      <c r="BW57">
        <f t="shared" ca="1" si="42"/>
        <v>332.33859478946817</v>
      </c>
      <c r="BX57">
        <f t="shared" ca="1" si="42"/>
        <v>331.41592062983727</v>
      </c>
      <c r="BY57">
        <f t="shared" ca="1" si="41"/>
        <v>331.2238086582833</v>
      </c>
      <c r="BZ57">
        <f t="shared" ca="1" si="41"/>
        <v>332.65149066380923</v>
      </c>
      <c r="CA57">
        <f t="shared" ca="1" si="41"/>
        <v>329.07301610664058</v>
      </c>
      <c r="CB57">
        <f t="shared" ca="1" si="41"/>
        <v>328.1243494811348</v>
      </c>
      <c r="CC57">
        <f t="shared" ca="1" si="41"/>
        <v>327.25083031861215</v>
      </c>
      <c r="CD57">
        <f t="shared" ca="1" si="41"/>
        <v>331.56255938060747</v>
      </c>
      <c r="CE57">
        <f t="shared" ca="1" si="41"/>
        <v>333.82227336807193</v>
      </c>
      <c r="CF57">
        <f t="shared" ca="1" si="41"/>
        <v>332.4142051987605</v>
      </c>
      <c r="CG57">
        <f t="shared" ca="1" si="41"/>
        <v>336.35692037636721</v>
      </c>
      <c r="CH57">
        <f t="shared" ca="1" si="41"/>
        <v>338.01960421528315</v>
      </c>
      <c r="CI57">
        <f t="shared" ca="1" si="41"/>
        <v>335.24791247029151</v>
      </c>
      <c r="CJ57">
        <f t="shared" ca="1" si="41"/>
        <v>330.98927681495434</v>
      </c>
      <c r="CK57">
        <f t="shared" ca="1" si="41"/>
        <v>331.21790083332775</v>
      </c>
      <c r="CL57">
        <f t="shared" ca="1" si="41"/>
        <v>331.26223943587064</v>
      </c>
      <c r="CM57">
        <f t="shared" ca="1" si="41"/>
        <v>333.20709808992552</v>
      </c>
      <c r="CN57">
        <f t="shared" ca="1" si="41"/>
        <v>333.36848904399227</v>
      </c>
      <c r="CO57">
        <f t="shared" ca="1" si="41"/>
        <v>337.06485118332375</v>
      </c>
      <c r="CP57">
        <f t="shared" ca="1" si="41"/>
        <v>333.72412480867325</v>
      </c>
      <c r="CQ57">
        <f t="shared" ca="1" si="41"/>
        <v>335.12000434569148</v>
      </c>
      <c r="CR57">
        <f t="shared" ca="1" si="41"/>
        <v>332.4397889944421</v>
      </c>
      <c r="CS57">
        <f t="shared" ca="1" si="41"/>
        <v>331.73164713954156</v>
      </c>
      <c r="CT57">
        <f t="shared" ca="1" si="41"/>
        <v>336.34231576131094</v>
      </c>
      <c r="CU57">
        <f t="shared" ca="1" si="41"/>
        <v>338.56547662861323</v>
      </c>
      <c r="CV57">
        <f t="shared" ca="1" si="41"/>
        <v>345.28819308148007</v>
      </c>
      <c r="CW57">
        <f t="shared" ca="1" si="41"/>
        <v>345.7852974426176</v>
      </c>
      <c r="CX57">
        <f t="shared" ca="1" si="41"/>
        <v>349.23807822150224</v>
      </c>
      <c r="CY57">
        <f t="shared" ca="1" si="41"/>
        <v>349.28905030746188</v>
      </c>
      <c r="CZ57">
        <f t="shared" ca="1" si="41"/>
        <v>349.11004791448499</v>
      </c>
      <c r="DA57">
        <f t="shared" ca="1" si="41"/>
        <v>344.87768517186527</v>
      </c>
      <c r="DB57">
        <f t="shared" ca="1" si="41"/>
        <v>344.1282099167733</v>
      </c>
      <c r="DC57">
        <f t="shared" ca="1" si="41"/>
        <v>340.53969453481176</v>
      </c>
      <c r="DD57">
        <f t="shared" ca="1" si="41"/>
        <v>337.99723889980424</v>
      </c>
      <c r="DE57">
        <f t="shared" ca="1" si="41"/>
        <v>338.49308890926858</v>
      </c>
      <c r="DF57">
        <f t="shared" ca="1" si="41"/>
        <v>342.52332885703544</v>
      </c>
      <c r="DG57">
        <f t="shared" ca="1" si="41"/>
        <v>343.77833748311485</v>
      </c>
    </row>
    <row r="58" spans="1:111">
      <c r="A58" s="2">
        <v>46008</v>
      </c>
      <c r="B58">
        <v>271.10205078125</v>
      </c>
      <c r="C58">
        <f t="shared" si="0"/>
        <v>-4.4029886127217917E-3</v>
      </c>
      <c r="J58">
        <v>10</v>
      </c>
      <c r="K58">
        <f t="shared" si="39"/>
        <v>333.01998901367188</v>
      </c>
      <c r="L58">
        <f t="shared" ca="1" si="38"/>
        <v>334.67335359674411</v>
      </c>
      <c r="M58">
        <f t="shared" ca="1" si="42"/>
        <v>334.42318652650209</v>
      </c>
      <c r="N58">
        <f t="shared" ca="1" si="42"/>
        <v>337.00587380122693</v>
      </c>
      <c r="O58">
        <f t="shared" ca="1" si="42"/>
        <v>339.16451854205587</v>
      </c>
      <c r="P58">
        <f t="shared" ca="1" si="42"/>
        <v>336.92219530678847</v>
      </c>
      <c r="Q58">
        <f t="shared" ca="1" si="42"/>
        <v>341.32191356716288</v>
      </c>
      <c r="R58">
        <f t="shared" ca="1" si="42"/>
        <v>341.70404055778317</v>
      </c>
      <c r="S58">
        <f t="shared" ca="1" si="42"/>
        <v>341.85635264070874</v>
      </c>
      <c r="T58">
        <f t="shared" ca="1" si="42"/>
        <v>341.8246666070101</v>
      </c>
      <c r="U58">
        <f t="shared" ca="1" si="42"/>
        <v>345.50683963869807</v>
      </c>
      <c r="V58">
        <f t="shared" ca="1" si="42"/>
        <v>348.87991417813674</v>
      </c>
      <c r="W58">
        <f t="shared" ca="1" si="42"/>
        <v>348.90473326551023</v>
      </c>
      <c r="X58">
        <f t="shared" ca="1" si="42"/>
        <v>346.59329688548894</v>
      </c>
      <c r="Y58">
        <f t="shared" ca="1" si="42"/>
        <v>349.34904666567706</v>
      </c>
      <c r="Z58">
        <f t="shared" ca="1" si="42"/>
        <v>351.24813748874703</v>
      </c>
      <c r="AA58">
        <f t="shared" ca="1" si="42"/>
        <v>350.86213639315235</v>
      </c>
      <c r="AB58">
        <f t="shared" ca="1" si="42"/>
        <v>349.88431813199333</v>
      </c>
      <c r="AC58">
        <f t="shared" ca="1" si="42"/>
        <v>353.95363244805179</v>
      </c>
      <c r="AD58">
        <f t="shared" ca="1" si="42"/>
        <v>354.95937345918918</v>
      </c>
      <c r="AE58">
        <f t="shared" ca="1" si="42"/>
        <v>353.09503155367554</v>
      </c>
      <c r="AF58">
        <f t="shared" ca="1" si="42"/>
        <v>354.3343200847296</v>
      </c>
      <c r="AG58">
        <f t="shared" ca="1" si="42"/>
        <v>350.87502315567065</v>
      </c>
      <c r="AH58">
        <f t="shared" ca="1" si="42"/>
        <v>349.62502224629725</v>
      </c>
      <c r="AI58">
        <f t="shared" ca="1" si="42"/>
        <v>346.9926513556245</v>
      </c>
      <c r="AJ58">
        <f t="shared" ca="1" si="42"/>
        <v>345.25879680404188</v>
      </c>
      <c r="AK58">
        <f t="shared" ca="1" si="42"/>
        <v>344.86089084549474</v>
      </c>
      <c r="AL58">
        <f t="shared" ca="1" si="42"/>
        <v>346.97873010621839</v>
      </c>
      <c r="AM58">
        <f t="shared" ca="1" si="42"/>
        <v>348.16473784127123</v>
      </c>
      <c r="AN58">
        <f t="shared" ca="1" si="42"/>
        <v>346.04306726260251</v>
      </c>
      <c r="AO58">
        <f t="shared" ca="1" si="42"/>
        <v>339.70222536677579</v>
      </c>
      <c r="AP58">
        <f t="shared" ca="1" si="42"/>
        <v>338.28471568955234</v>
      </c>
      <c r="AQ58">
        <f t="shared" ca="1" si="42"/>
        <v>337.74913678938321</v>
      </c>
      <c r="AR58">
        <f t="shared" ca="1" si="42"/>
        <v>338.93840647074944</v>
      </c>
      <c r="AS58">
        <f t="shared" ca="1" si="42"/>
        <v>337.94655854169918</v>
      </c>
      <c r="AT58">
        <f t="shared" ca="1" si="42"/>
        <v>338.64181334166443</v>
      </c>
      <c r="AU58">
        <f t="shared" ca="1" si="42"/>
        <v>338.92697321457291</v>
      </c>
      <c r="AV58">
        <f t="shared" ca="1" si="42"/>
        <v>337.66874022234038</v>
      </c>
      <c r="AW58">
        <f t="shared" ca="1" si="42"/>
        <v>337.61899206206436</v>
      </c>
      <c r="AX58">
        <f t="shared" ca="1" si="42"/>
        <v>337.37402441341601</v>
      </c>
      <c r="AY58">
        <f t="shared" ca="1" si="42"/>
        <v>336.06306304165514</v>
      </c>
      <c r="AZ58">
        <f t="shared" ca="1" si="42"/>
        <v>336.05027081034422</v>
      </c>
      <c r="BA58">
        <f t="shared" ca="1" si="42"/>
        <v>335.66003289866359</v>
      </c>
      <c r="BB58">
        <f t="shared" ca="1" si="42"/>
        <v>332.8669609034884</v>
      </c>
      <c r="BC58">
        <f t="shared" ca="1" si="42"/>
        <v>329.44580132076703</v>
      </c>
      <c r="BD58">
        <f t="shared" ca="1" si="42"/>
        <v>335.02787988188669</v>
      </c>
      <c r="BE58">
        <f t="shared" ca="1" si="42"/>
        <v>334.94189279230812</v>
      </c>
      <c r="BF58">
        <f t="shared" ca="1" si="42"/>
        <v>336.87227192886763</v>
      </c>
      <c r="BG58">
        <f t="shared" ca="1" si="42"/>
        <v>339.76120327983159</v>
      </c>
      <c r="BH58">
        <f t="shared" ca="1" si="42"/>
        <v>342.11036225196256</v>
      </c>
      <c r="BI58">
        <f t="shared" ca="1" si="42"/>
        <v>339.97879067706583</v>
      </c>
      <c r="BJ58">
        <f t="shared" ca="1" si="42"/>
        <v>341.6681081230164</v>
      </c>
      <c r="BK58">
        <f t="shared" ca="1" si="42"/>
        <v>344.54198245970576</v>
      </c>
      <c r="BL58">
        <f t="shared" ca="1" si="42"/>
        <v>341.99150029284147</v>
      </c>
      <c r="BM58">
        <f t="shared" ca="1" si="42"/>
        <v>344.26734562833826</v>
      </c>
      <c r="BN58">
        <f t="shared" ca="1" si="42"/>
        <v>344.84809717801295</v>
      </c>
      <c r="BO58">
        <f t="shared" ca="1" si="42"/>
        <v>351.58574834161789</v>
      </c>
      <c r="BP58">
        <f t="shared" ca="1" si="42"/>
        <v>347.73534053094011</v>
      </c>
      <c r="BQ58">
        <f t="shared" ca="1" si="42"/>
        <v>351.46133539338683</v>
      </c>
      <c r="BR58">
        <f t="shared" ca="1" si="42"/>
        <v>350.74209711031858</v>
      </c>
      <c r="BS58">
        <f t="shared" ca="1" si="42"/>
        <v>353.47635148690267</v>
      </c>
      <c r="BT58">
        <f t="shared" ca="1" si="42"/>
        <v>352.7915301227107</v>
      </c>
      <c r="BU58">
        <f t="shared" ca="1" si="42"/>
        <v>349.81670356952208</v>
      </c>
      <c r="BV58">
        <f t="shared" ca="1" si="42"/>
        <v>347.25258204944282</v>
      </c>
      <c r="BW58">
        <f t="shared" ca="1" si="42"/>
        <v>350.18745820389682</v>
      </c>
      <c r="BX58">
        <f t="shared" ref="BX58:DG58" ca="1" si="43">BW58+BW58*$F$5*$G$10+BW58*$G$5*$G$11*NORMSINV(RAND())</f>
        <v>347.74884446040994</v>
      </c>
      <c r="BY58">
        <f t="shared" ca="1" si="43"/>
        <v>350.07667651838301</v>
      </c>
      <c r="BZ58">
        <f t="shared" ca="1" si="43"/>
        <v>347.79273953062648</v>
      </c>
      <c r="CA58">
        <f t="shared" ca="1" si="43"/>
        <v>347.37304216912139</v>
      </c>
      <c r="CB58">
        <f t="shared" ca="1" si="43"/>
        <v>341.73069790290822</v>
      </c>
      <c r="CC58">
        <f t="shared" ca="1" si="43"/>
        <v>341.56180714245784</v>
      </c>
      <c r="CD58">
        <f t="shared" ca="1" si="43"/>
        <v>339.80603437424355</v>
      </c>
      <c r="CE58">
        <f t="shared" ca="1" si="43"/>
        <v>342.94314493787789</v>
      </c>
      <c r="CF58">
        <f t="shared" ca="1" si="43"/>
        <v>342.31594706709444</v>
      </c>
      <c r="CG58">
        <f t="shared" ca="1" si="43"/>
        <v>343.51372664427794</v>
      </c>
      <c r="CH58">
        <f t="shared" ca="1" si="43"/>
        <v>345.92597242061458</v>
      </c>
      <c r="CI58">
        <f t="shared" ca="1" si="43"/>
        <v>348.38199697890218</v>
      </c>
      <c r="CJ58">
        <f t="shared" ca="1" si="43"/>
        <v>349.48394856393435</v>
      </c>
      <c r="CK58">
        <f t="shared" ca="1" si="43"/>
        <v>353.28946472402663</v>
      </c>
      <c r="CL58">
        <f t="shared" ca="1" si="43"/>
        <v>356.94061093069729</v>
      </c>
      <c r="CM58">
        <f t="shared" ca="1" si="43"/>
        <v>352.84689004560943</v>
      </c>
      <c r="CN58">
        <f t="shared" ca="1" si="43"/>
        <v>352.62677171128115</v>
      </c>
      <c r="CO58">
        <f t="shared" ca="1" si="43"/>
        <v>354.15135621675773</v>
      </c>
      <c r="CP58">
        <f t="shared" ca="1" si="43"/>
        <v>357.35849672371108</v>
      </c>
      <c r="CQ58">
        <f t="shared" ca="1" si="43"/>
        <v>354.45576300995475</v>
      </c>
      <c r="CR58">
        <f t="shared" ca="1" si="43"/>
        <v>353.45557554728322</v>
      </c>
      <c r="CS58">
        <f t="shared" ca="1" si="43"/>
        <v>355.23872358383426</v>
      </c>
      <c r="CT58">
        <f t="shared" ca="1" si="43"/>
        <v>354.25452977200479</v>
      </c>
      <c r="CU58">
        <f t="shared" ca="1" si="43"/>
        <v>354.67053010630332</v>
      </c>
      <c r="CV58">
        <f t="shared" ca="1" si="43"/>
        <v>356.46472397899703</v>
      </c>
      <c r="CW58">
        <f t="shared" ca="1" si="43"/>
        <v>357.05169895089205</v>
      </c>
      <c r="CX58">
        <f t="shared" ca="1" si="43"/>
        <v>357.5403728780397</v>
      </c>
      <c r="CY58">
        <f t="shared" ca="1" si="43"/>
        <v>359.7015589365875</v>
      </c>
      <c r="CZ58">
        <f t="shared" ca="1" si="43"/>
        <v>359.79573467555508</v>
      </c>
      <c r="DA58">
        <f t="shared" ca="1" si="43"/>
        <v>361.38179711702372</v>
      </c>
      <c r="DB58">
        <f t="shared" ca="1" si="43"/>
        <v>363.14621257075032</v>
      </c>
      <c r="DC58">
        <f t="shared" ca="1" si="43"/>
        <v>367.69260117478916</v>
      </c>
      <c r="DD58">
        <f t="shared" ca="1" si="43"/>
        <v>369.99323077242792</v>
      </c>
      <c r="DE58">
        <f t="shared" ca="1" si="43"/>
        <v>368.30788570638515</v>
      </c>
      <c r="DF58">
        <f t="shared" ca="1" si="43"/>
        <v>368.037483546533</v>
      </c>
      <c r="DG58">
        <f t="shared" ca="1" si="43"/>
        <v>369.1407093743673</v>
      </c>
    </row>
    <row r="59" spans="1:111">
      <c r="A59" s="2">
        <v>46009</v>
      </c>
      <c r="B59">
        <v>271.45114135742188</v>
      </c>
      <c r="C59">
        <f t="shared" si="0"/>
        <v>5.5886919120231129E-4</v>
      </c>
    </row>
    <row r="60" spans="1:111">
      <c r="A60" s="2">
        <v>46010</v>
      </c>
      <c r="B60">
        <v>272.9271240234375</v>
      </c>
      <c r="C60">
        <f t="shared" si="0"/>
        <v>2.3550267846839733E-3</v>
      </c>
    </row>
    <row r="61" spans="1:111">
      <c r="A61" s="2">
        <v>46013</v>
      </c>
      <c r="B61">
        <v>270.23443603515619</v>
      </c>
      <c r="C61">
        <f t="shared" si="0"/>
        <v>-4.306008380857259E-3</v>
      </c>
      <c r="J61" t="s">
        <v>25</v>
      </c>
      <c r="K61">
        <f>+AVERAGE(K49:K58)</f>
        <v>333.01998901367188</v>
      </c>
      <c r="L61">
        <f t="shared" ref="L61:BW61" ca="1" si="44">+AVERAGE(L49:L58)</f>
        <v>333.57261277901051</v>
      </c>
      <c r="M61">
        <f t="shared" ca="1" si="44"/>
        <v>332.69939987667425</v>
      </c>
      <c r="N61">
        <f t="shared" ca="1" si="44"/>
        <v>333.98022434956385</v>
      </c>
      <c r="O61">
        <f t="shared" ca="1" si="44"/>
        <v>334.32017540719124</v>
      </c>
      <c r="P61">
        <f t="shared" ca="1" si="44"/>
        <v>333.55796779153775</v>
      </c>
      <c r="Q61">
        <f t="shared" ca="1" si="44"/>
        <v>333.33803027271233</v>
      </c>
      <c r="R61">
        <f t="shared" ca="1" si="44"/>
        <v>333.6979329215124</v>
      </c>
      <c r="S61">
        <f t="shared" ca="1" si="44"/>
        <v>334.01517117856639</v>
      </c>
      <c r="T61">
        <f t="shared" ca="1" si="44"/>
        <v>334.63880607595786</v>
      </c>
      <c r="U61">
        <f t="shared" ca="1" si="44"/>
        <v>334.54158014940128</v>
      </c>
      <c r="V61">
        <f t="shared" ca="1" si="44"/>
        <v>334.86188377717406</v>
      </c>
      <c r="W61">
        <f t="shared" ca="1" si="44"/>
        <v>333.6270755452295</v>
      </c>
      <c r="X61">
        <f t="shared" ca="1" si="44"/>
        <v>332.95531220368099</v>
      </c>
      <c r="Y61">
        <f t="shared" ca="1" si="44"/>
        <v>333.91721155144154</v>
      </c>
      <c r="Z61">
        <f t="shared" ca="1" si="44"/>
        <v>334.78917785394276</v>
      </c>
      <c r="AA61">
        <f t="shared" ca="1" si="44"/>
        <v>334.80434820865139</v>
      </c>
      <c r="AB61">
        <f t="shared" ca="1" si="44"/>
        <v>334.59036250973696</v>
      </c>
      <c r="AC61">
        <f t="shared" ca="1" si="44"/>
        <v>335.96070994882194</v>
      </c>
      <c r="AD61">
        <f t="shared" ca="1" si="44"/>
        <v>337.25926866435418</v>
      </c>
      <c r="AE61">
        <f t="shared" ca="1" si="44"/>
        <v>337.93131304131521</v>
      </c>
      <c r="AF61">
        <f t="shared" ca="1" si="44"/>
        <v>338.0277636954799</v>
      </c>
      <c r="AG61">
        <f t="shared" ca="1" si="44"/>
        <v>339.11147060369944</v>
      </c>
      <c r="AH61">
        <f t="shared" ca="1" si="44"/>
        <v>338.24184909409234</v>
      </c>
      <c r="AI61">
        <f t="shared" ca="1" si="44"/>
        <v>338.82588507869912</v>
      </c>
      <c r="AJ61">
        <f t="shared" ca="1" si="44"/>
        <v>339.65863382275489</v>
      </c>
      <c r="AK61">
        <f t="shared" ca="1" si="44"/>
        <v>340.82626950420996</v>
      </c>
      <c r="AL61">
        <f t="shared" ca="1" si="44"/>
        <v>340.38441714061071</v>
      </c>
      <c r="AM61">
        <f t="shared" ca="1" si="44"/>
        <v>340.29701269474396</v>
      </c>
      <c r="AN61">
        <f t="shared" ca="1" si="44"/>
        <v>340.60366717511386</v>
      </c>
      <c r="AO61">
        <f t="shared" ca="1" si="44"/>
        <v>339.65605492630056</v>
      </c>
      <c r="AP61">
        <f t="shared" ca="1" si="44"/>
        <v>340.88381592727785</v>
      </c>
      <c r="AQ61">
        <f t="shared" ca="1" si="44"/>
        <v>340.05613957665309</v>
      </c>
      <c r="AR61">
        <f t="shared" ca="1" si="44"/>
        <v>340.78394771082202</v>
      </c>
      <c r="AS61">
        <f t="shared" ca="1" si="44"/>
        <v>340.76131529223522</v>
      </c>
      <c r="AT61">
        <f t="shared" ca="1" si="44"/>
        <v>341.85062136304111</v>
      </c>
      <c r="AU61">
        <f t="shared" ca="1" si="44"/>
        <v>341.6741132749097</v>
      </c>
      <c r="AV61">
        <f t="shared" ca="1" si="44"/>
        <v>341.4648733729282</v>
      </c>
      <c r="AW61">
        <f t="shared" ca="1" si="44"/>
        <v>341.48081804686478</v>
      </c>
      <c r="AX61">
        <f t="shared" ca="1" si="44"/>
        <v>340.88782175732047</v>
      </c>
      <c r="AY61">
        <f t="shared" ca="1" si="44"/>
        <v>341.03728180490691</v>
      </c>
      <c r="AZ61">
        <f t="shared" ca="1" si="44"/>
        <v>341.26519888181934</v>
      </c>
      <c r="BA61">
        <f t="shared" ca="1" si="44"/>
        <v>341.722978545861</v>
      </c>
      <c r="BB61">
        <f t="shared" ca="1" si="44"/>
        <v>342.60343904065877</v>
      </c>
      <c r="BC61">
        <f t="shared" ca="1" si="44"/>
        <v>341.96622025459567</v>
      </c>
      <c r="BD61">
        <f t="shared" ca="1" si="44"/>
        <v>342.65031455877522</v>
      </c>
      <c r="BE61">
        <f t="shared" ca="1" si="44"/>
        <v>342.99153508322559</v>
      </c>
      <c r="BF61">
        <f t="shared" ca="1" si="44"/>
        <v>343.34697427845276</v>
      </c>
      <c r="BG61">
        <f t="shared" ca="1" si="44"/>
        <v>344.39011891698885</v>
      </c>
      <c r="BH61">
        <f t="shared" ca="1" si="44"/>
        <v>344.59181071399922</v>
      </c>
      <c r="BI61">
        <f t="shared" ca="1" si="44"/>
        <v>344.58773789217645</v>
      </c>
      <c r="BJ61">
        <f t="shared" ca="1" si="44"/>
        <v>344.67788750715852</v>
      </c>
      <c r="BK61">
        <f t="shared" ca="1" si="44"/>
        <v>345.40646823071364</v>
      </c>
      <c r="BL61">
        <f t="shared" ca="1" si="44"/>
        <v>345.21756227639889</v>
      </c>
      <c r="BM61">
        <f t="shared" ca="1" si="44"/>
        <v>345.7079561064607</v>
      </c>
      <c r="BN61">
        <f t="shared" ca="1" si="44"/>
        <v>345.49334308759035</v>
      </c>
      <c r="BO61">
        <f t="shared" ca="1" si="44"/>
        <v>346.00483175142455</v>
      </c>
      <c r="BP61">
        <f t="shared" ca="1" si="44"/>
        <v>343.71920608386245</v>
      </c>
      <c r="BQ61">
        <f t="shared" ca="1" si="44"/>
        <v>345.32594233442688</v>
      </c>
      <c r="BR61">
        <f t="shared" ca="1" si="44"/>
        <v>344.85413685079027</v>
      </c>
      <c r="BS61">
        <f t="shared" ca="1" si="44"/>
        <v>345.32585708655597</v>
      </c>
      <c r="BT61">
        <f t="shared" ca="1" si="44"/>
        <v>345.18294589461806</v>
      </c>
      <c r="BU61">
        <f t="shared" ca="1" si="44"/>
        <v>344.97659209299974</v>
      </c>
      <c r="BV61">
        <f t="shared" ca="1" si="44"/>
        <v>343.56703895716566</v>
      </c>
      <c r="BW61">
        <f t="shared" ca="1" si="44"/>
        <v>344.30043558148532</v>
      </c>
      <c r="BX61">
        <f t="shared" ref="BX61:DG61" ca="1" si="45">+AVERAGE(BX49:BX58)</f>
        <v>343.43934963713633</v>
      </c>
      <c r="BY61">
        <f t="shared" ca="1" si="45"/>
        <v>344.08085121581945</v>
      </c>
      <c r="BZ61">
        <f t="shared" ca="1" si="45"/>
        <v>343.24340727522207</v>
      </c>
      <c r="CA61">
        <f t="shared" ca="1" si="45"/>
        <v>343.03148249814711</v>
      </c>
      <c r="CB61">
        <f t="shared" ca="1" si="45"/>
        <v>342.27474623816119</v>
      </c>
      <c r="CC61">
        <f t="shared" ca="1" si="45"/>
        <v>342.16831541435863</v>
      </c>
      <c r="CD61">
        <f t="shared" ca="1" si="45"/>
        <v>342.18780025852959</v>
      </c>
      <c r="CE61">
        <f t="shared" ca="1" si="45"/>
        <v>342.33824084295316</v>
      </c>
      <c r="CF61">
        <f t="shared" ca="1" si="45"/>
        <v>341.99478581238293</v>
      </c>
      <c r="CG61">
        <f t="shared" ca="1" si="45"/>
        <v>342.06397748543282</v>
      </c>
      <c r="CH61">
        <f t="shared" ca="1" si="45"/>
        <v>342.31067963733034</v>
      </c>
      <c r="CI61">
        <f t="shared" ca="1" si="45"/>
        <v>343.06709154594489</v>
      </c>
      <c r="CJ61">
        <f t="shared" ca="1" si="45"/>
        <v>343.03764966517349</v>
      </c>
      <c r="CK61">
        <f t="shared" ca="1" si="45"/>
        <v>342.83566171395597</v>
      </c>
      <c r="CL61">
        <f t="shared" ca="1" si="45"/>
        <v>342.44603437540081</v>
      </c>
      <c r="CM61">
        <f t="shared" ca="1" si="45"/>
        <v>342.55456276571454</v>
      </c>
      <c r="CN61">
        <f t="shared" ca="1" si="45"/>
        <v>342.05027979638231</v>
      </c>
      <c r="CO61">
        <f t="shared" ca="1" si="45"/>
        <v>342.8705348737891</v>
      </c>
      <c r="CP61">
        <f t="shared" ca="1" si="45"/>
        <v>343.30754731303705</v>
      </c>
      <c r="CQ61">
        <f t="shared" ca="1" si="45"/>
        <v>342.9908829366147</v>
      </c>
      <c r="CR61">
        <f t="shared" ca="1" si="45"/>
        <v>342.09120477770034</v>
      </c>
      <c r="CS61">
        <f t="shared" ca="1" si="45"/>
        <v>343.27313394796045</v>
      </c>
      <c r="CT61">
        <f t="shared" ca="1" si="45"/>
        <v>343.82649187585969</v>
      </c>
      <c r="CU61">
        <f t="shared" ca="1" si="45"/>
        <v>344.90021154985942</v>
      </c>
      <c r="CV61">
        <f t="shared" ca="1" si="45"/>
        <v>346.68036150966367</v>
      </c>
      <c r="CW61">
        <f t="shared" ca="1" si="45"/>
        <v>346.46944680240523</v>
      </c>
      <c r="CX61">
        <f t="shared" ca="1" si="45"/>
        <v>345.53482739535826</v>
      </c>
      <c r="CY61">
        <f t="shared" ca="1" si="45"/>
        <v>345.47941521515111</v>
      </c>
      <c r="CZ61">
        <f t="shared" ca="1" si="45"/>
        <v>345.75861951222765</v>
      </c>
      <c r="DA61">
        <f t="shared" ca="1" si="45"/>
        <v>345.94053049084999</v>
      </c>
      <c r="DB61">
        <f t="shared" ca="1" si="45"/>
        <v>345.77764009713547</v>
      </c>
      <c r="DC61">
        <f t="shared" ca="1" si="45"/>
        <v>346.4555597202293</v>
      </c>
      <c r="DD61">
        <f t="shared" ca="1" si="45"/>
        <v>345.35913414375739</v>
      </c>
      <c r="DE61">
        <f t="shared" ca="1" si="45"/>
        <v>345.43074154015699</v>
      </c>
      <c r="DF61">
        <f t="shared" ca="1" si="45"/>
        <v>346.20722062660013</v>
      </c>
      <c r="DG61">
        <f t="shared" ca="1" si="45"/>
        <v>345.82886766055486</v>
      </c>
    </row>
    <row r="62" spans="1:111">
      <c r="A62" s="2">
        <v>46014</v>
      </c>
      <c r="B62">
        <v>271.62066650390619</v>
      </c>
      <c r="C62">
        <f t="shared" si="0"/>
        <v>2.222120097519124E-3</v>
      </c>
      <c r="J62" t="s">
        <v>26</v>
      </c>
      <c r="K62">
        <f>+K61+2*_xlfn.STDEV.S(K49:K58)</f>
        <v>333.01998901367188</v>
      </c>
      <c r="L62">
        <f t="shared" ref="L62:BW62" ca="1" si="46">+L61+2*_xlfn.STDEV.S(L49:L58)</f>
        <v>336.28130525254244</v>
      </c>
      <c r="M62">
        <f t="shared" ca="1" si="46"/>
        <v>340.0531396783835</v>
      </c>
      <c r="N62">
        <f t="shared" ca="1" si="46"/>
        <v>342.75126207395198</v>
      </c>
      <c r="O62">
        <f t="shared" ca="1" si="46"/>
        <v>345.84173504007026</v>
      </c>
      <c r="P62">
        <f t="shared" ca="1" si="46"/>
        <v>344.26526726970701</v>
      </c>
      <c r="Q62">
        <f t="shared" ca="1" si="46"/>
        <v>345.29781984458276</v>
      </c>
      <c r="R62">
        <f t="shared" ca="1" si="46"/>
        <v>346.35547160221125</v>
      </c>
      <c r="S62">
        <f t="shared" ca="1" si="46"/>
        <v>345.26062902275646</v>
      </c>
      <c r="T62">
        <f t="shared" ca="1" si="46"/>
        <v>345.81881445786138</v>
      </c>
      <c r="U62">
        <f t="shared" ca="1" si="46"/>
        <v>348.98549257463264</v>
      </c>
      <c r="V62">
        <f t="shared" ca="1" si="46"/>
        <v>349.65034042673858</v>
      </c>
      <c r="W62">
        <f t="shared" ca="1" si="46"/>
        <v>348.81207093228176</v>
      </c>
      <c r="X62">
        <f t="shared" ca="1" si="46"/>
        <v>348.94282674886824</v>
      </c>
      <c r="Y62">
        <f t="shared" ca="1" si="46"/>
        <v>351.40252464637911</v>
      </c>
      <c r="Z62">
        <f t="shared" ca="1" si="46"/>
        <v>351.02548256517179</v>
      </c>
      <c r="AA62">
        <f t="shared" ca="1" si="46"/>
        <v>352.33697180130702</v>
      </c>
      <c r="AB62">
        <f t="shared" ca="1" si="46"/>
        <v>353.25067189925892</v>
      </c>
      <c r="AC62">
        <f t="shared" ca="1" si="46"/>
        <v>356.5863035745067</v>
      </c>
      <c r="AD62">
        <f t="shared" ca="1" si="46"/>
        <v>359.49302152954323</v>
      </c>
      <c r="AE62">
        <f t="shared" ca="1" si="46"/>
        <v>361.46663519455086</v>
      </c>
      <c r="AF62">
        <f t="shared" ca="1" si="46"/>
        <v>362.79285995966063</v>
      </c>
      <c r="AG62">
        <f t="shared" ca="1" si="46"/>
        <v>365.52769192756045</v>
      </c>
      <c r="AH62">
        <f t="shared" ca="1" si="46"/>
        <v>365.1909304714348</v>
      </c>
      <c r="AI62">
        <f t="shared" ca="1" si="46"/>
        <v>368.20584287100019</v>
      </c>
      <c r="AJ62">
        <f t="shared" ca="1" si="46"/>
        <v>369.37387362309562</v>
      </c>
      <c r="AK62">
        <f t="shared" ca="1" si="46"/>
        <v>370.7467767617386</v>
      </c>
      <c r="AL62">
        <f t="shared" ca="1" si="46"/>
        <v>370.07795514174586</v>
      </c>
      <c r="AM62">
        <f t="shared" ca="1" si="46"/>
        <v>369.05589951857661</v>
      </c>
      <c r="AN62">
        <f t="shared" ca="1" si="46"/>
        <v>368.82162056543473</v>
      </c>
      <c r="AO62">
        <f t="shared" ca="1" si="46"/>
        <v>367.35596835816449</v>
      </c>
      <c r="AP62">
        <f t="shared" ca="1" si="46"/>
        <v>368.52281831067842</v>
      </c>
      <c r="AQ62">
        <f t="shared" ca="1" si="46"/>
        <v>367.17623125941668</v>
      </c>
      <c r="AR62">
        <f t="shared" ca="1" si="46"/>
        <v>368.28344179076919</v>
      </c>
      <c r="AS62">
        <f t="shared" ca="1" si="46"/>
        <v>364.81526589058512</v>
      </c>
      <c r="AT62">
        <f t="shared" ca="1" si="46"/>
        <v>366.74695696765951</v>
      </c>
      <c r="AU62">
        <f t="shared" ca="1" si="46"/>
        <v>367.81362326014317</v>
      </c>
      <c r="AV62">
        <f t="shared" ca="1" si="46"/>
        <v>366.44330419376382</v>
      </c>
      <c r="AW62">
        <f t="shared" ca="1" si="46"/>
        <v>367.15874178050456</v>
      </c>
      <c r="AX62">
        <f t="shared" ca="1" si="46"/>
        <v>366.19455959318645</v>
      </c>
      <c r="AY62">
        <f t="shared" ca="1" si="46"/>
        <v>367.51271628488223</v>
      </c>
      <c r="AZ62">
        <f t="shared" ca="1" si="46"/>
        <v>367.56713470083076</v>
      </c>
      <c r="BA62">
        <f t="shared" ca="1" si="46"/>
        <v>366.64281433704667</v>
      </c>
      <c r="BB62">
        <f t="shared" ca="1" si="46"/>
        <v>366.05696227302565</v>
      </c>
      <c r="BC62">
        <f t="shared" ca="1" si="46"/>
        <v>365.96151648899581</v>
      </c>
      <c r="BD62">
        <f t="shared" ca="1" si="46"/>
        <v>365.458777417568</v>
      </c>
      <c r="BE62">
        <f t="shared" ca="1" si="46"/>
        <v>366.46368587328777</v>
      </c>
      <c r="BF62">
        <f t="shared" ca="1" si="46"/>
        <v>369.16714194791047</v>
      </c>
      <c r="BG62">
        <f t="shared" ca="1" si="46"/>
        <v>369.35702152546787</v>
      </c>
      <c r="BH62">
        <f t="shared" ca="1" si="46"/>
        <v>367.58153696930299</v>
      </c>
      <c r="BI62">
        <f t="shared" ca="1" si="46"/>
        <v>369.16880271301545</v>
      </c>
      <c r="BJ62">
        <f t="shared" ca="1" si="46"/>
        <v>370.85732045165008</v>
      </c>
      <c r="BK62">
        <f t="shared" ca="1" si="46"/>
        <v>371.52695801211456</v>
      </c>
      <c r="BL62">
        <f t="shared" ca="1" si="46"/>
        <v>368.33007309411488</v>
      </c>
      <c r="BM62">
        <f t="shared" ca="1" si="46"/>
        <v>372.69552967754731</v>
      </c>
      <c r="BN62">
        <f t="shared" ca="1" si="46"/>
        <v>372.93699657390965</v>
      </c>
      <c r="BO62">
        <f t="shared" ca="1" si="46"/>
        <v>373.36880770615204</v>
      </c>
      <c r="BP62">
        <f t="shared" ca="1" si="46"/>
        <v>372.11570680692148</v>
      </c>
      <c r="BQ62">
        <f t="shared" ca="1" si="46"/>
        <v>373.79231505693957</v>
      </c>
      <c r="BR62">
        <f t="shared" ca="1" si="46"/>
        <v>372.66980813212524</v>
      </c>
      <c r="BS62">
        <f t="shared" ca="1" si="46"/>
        <v>374.77979370910612</v>
      </c>
      <c r="BT62">
        <f t="shared" ca="1" si="46"/>
        <v>375.99225700012749</v>
      </c>
      <c r="BU62">
        <f t="shared" ca="1" si="46"/>
        <v>376.95794117217889</v>
      </c>
      <c r="BV62">
        <f t="shared" ca="1" si="46"/>
        <v>375.67664407680479</v>
      </c>
      <c r="BW62">
        <f t="shared" ca="1" si="46"/>
        <v>377.52749478671495</v>
      </c>
      <c r="BX62">
        <f t="shared" ref="BX62:DG62" ca="1" si="47">+BX61+2*_xlfn.STDEV.S(BX49:BX58)</f>
        <v>375.73625039046686</v>
      </c>
      <c r="BY62">
        <f t="shared" ca="1" si="47"/>
        <v>377.38795929059677</v>
      </c>
      <c r="BZ62">
        <f t="shared" ca="1" si="47"/>
        <v>372.95028472322656</v>
      </c>
      <c r="CA62">
        <f t="shared" ca="1" si="47"/>
        <v>372.75089914709713</v>
      </c>
      <c r="CB62">
        <f t="shared" ca="1" si="47"/>
        <v>372.14444278362851</v>
      </c>
      <c r="CC62">
        <f t="shared" ca="1" si="47"/>
        <v>373.58707159717096</v>
      </c>
      <c r="CD62">
        <f t="shared" ca="1" si="47"/>
        <v>372.37173487133094</v>
      </c>
      <c r="CE62">
        <f t="shared" ca="1" si="47"/>
        <v>371.05236129851028</v>
      </c>
      <c r="CF62">
        <f t="shared" ca="1" si="47"/>
        <v>373.52869608194959</v>
      </c>
      <c r="CG62">
        <f t="shared" ca="1" si="47"/>
        <v>373.00700987272143</v>
      </c>
      <c r="CH62">
        <f t="shared" ca="1" si="47"/>
        <v>373.70429907659127</v>
      </c>
      <c r="CI62">
        <f t="shared" ca="1" si="47"/>
        <v>376.00681577362127</v>
      </c>
      <c r="CJ62">
        <f t="shared" ca="1" si="47"/>
        <v>378.70340368937002</v>
      </c>
      <c r="CK62">
        <f t="shared" ca="1" si="47"/>
        <v>377.60419007469426</v>
      </c>
      <c r="CL62">
        <f t="shared" ca="1" si="47"/>
        <v>378.83182065382681</v>
      </c>
      <c r="CM62">
        <f t="shared" ca="1" si="47"/>
        <v>377.76602372862089</v>
      </c>
      <c r="CN62">
        <f t="shared" ca="1" si="47"/>
        <v>380.09935550173714</v>
      </c>
      <c r="CO62">
        <f t="shared" ca="1" si="47"/>
        <v>380.23214214872479</v>
      </c>
      <c r="CP62">
        <f t="shared" ca="1" si="47"/>
        <v>383.2722713154605</v>
      </c>
      <c r="CQ62">
        <f t="shared" ca="1" si="47"/>
        <v>383.62933753251986</v>
      </c>
      <c r="CR62">
        <f t="shared" ca="1" si="47"/>
        <v>381.70110876709577</v>
      </c>
      <c r="CS62">
        <f t="shared" ca="1" si="47"/>
        <v>382.90447216581032</v>
      </c>
      <c r="CT62">
        <f t="shared" ca="1" si="47"/>
        <v>385.66744253412304</v>
      </c>
      <c r="CU62">
        <f t="shared" ca="1" si="47"/>
        <v>385.18463788264347</v>
      </c>
      <c r="CV62">
        <f t="shared" ca="1" si="47"/>
        <v>387.61958320330962</v>
      </c>
      <c r="CW62">
        <f t="shared" ca="1" si="47"/>
        <v>387.55763011636179</v>
      </c>
      <c r="CX62">
        <f t="shared" ca="1" si="47"/>
        <v>387.00703173986142</v>
      </c>
      <c r="CY62">
        <f t="shared" ca="1" si="47"/>
        <v>386.87043107073629</v>
      </c>
      <c r="CZ62">
        <f t="shared" ca="1" si="47"/>
        <v>386.97692623759161</v>
      </c>
      <c r="DA62">
        <f t="shared" ca="1" si="47"/>
        <v>387.15793915633992</v>
      </c>
      <c r="DB62">
        <f t="shared" ca="1" si="47"/>
        <v>388.07792142562658</v>
      </c>
      <c r="DC62">
        <f t="shared" ca="1" si="47"/>
        <v>389.14138678309882</v>
      </c>
      <c r="DD62">
        <f t="shared" ca="1" si="47"/>
        <v>389.88334993412531</v>
      </c>
      <c r="DE62">
        <f t="shared" ca="1" si="47"/>
        <v>391.18473439802415</v>
      </c>
      <c r="DF62">
        <f t="shared" ca="1" si="47"/>
        <v>390.85422257519753</v>
      </c>
      <c r="DG62">
        <f t="shared" ca="1" si="47"/>
        <v>390.15995411092234</v>
      </c>
    </row>
    <row r="63" spans="1:111">
      <c r="A63" s="2">
        <v>46015</v>
      </c>
      <c r="B63">
        <v>273.06671142578119</v>
      </c>
      <c r="C63">
        <f t="shared" si="0"/>
        <v>2.3059495447146495E-3</v>
      </c>
      <c r="J63" t="s">
        <v>27</v>
      </c>
      <c r="K63">
        <f>+K61-2*_xlfn.STDEV.S(K49:K58)</f>
        <v>333.01998901367188</v>
      </c>
      <c r="L63">
        <f t="shared" ref="L63:BW63" ca="1" si="48">+L61-2*_xlfn.STDEV.S(L49:L58)</f>
        <v>330.86392030547859</v>
      </c>
      <c r="M63">
        <f t="shared" ca="1" si="48"/>
        <v>325.345660074965</v>
      </c>
      <c r="N63">
        <f t="shared" ca="1" si="48"/>
        <v>325.20918662517573</v>
      </c>
      <c r="O63">
        <f t="shared" ca="1" si="48"/>
        <v>322.79861577431222</v>
      </c>
      <c r="P63">
        <f t="shared" ca="1" si="48"/>
        <v>322.85066831336849</v>
      </c>
      <c r="Q63">
        <f t="shared" ca="1" si="48"/>
        <v>321.3782407008419</v>
      </c>
      <c r="R63">
        <f t="shared" ca="1" si="48"/>
        <v>321.04039424081355</v>
      </c>
      <c r="S63">
        <f t="shared" ca="1" si="48"/>
        <v>322.76971333437632</v>
      </c>
      <c r="T63">
        <f t="shared" ca="1" si="48"/>
        <v>323.45879769405434</v>
      </c>
      <c r="U63">
        <f t="shared" ca="1" si="48"/>
        <v>320.09766772416992</v>
      </c>
      <c r="V63">
        <f t="shared" ca="1" si="48"/>
        <v>320.07342712760953</v>
      </c>
      <c r="W63">
        <f t="shared" ca="1" si="48"/>
        <v>318.44208015817725</v>
      </c>
      <c r="X63">
        <f t="shared" ca="1" si="48"/>
        <v>316.96779765849374</v>
      </c>
      <c r="Y63">
        <f t="shared" ca="1" si="48"/>
        <v>316.43189845650397</v>
      </c>
      <c r="Z63">
        <f t="shared" ca="1" si="48"/>
        <v>318.55287314271374</v>
      </c>
      <c r="AA63">
        <f t="shared" ca="1" si="48"/>
        <v>317.27172461599577</v>
      </c>
      <c r="AB63">
        <f t="shared" ca="1" si="48"/>
        <v>315.93005312021501</v>
      </c>
      <c r="AC63">
        <f t="shared" ca="1" si="48"/>
        <v>315.33511632313719</v>
      </c>
      <c r="AD63">
        <f t="shared" ca="1" si="48"/>
        <v>315.02551579916513</v>
      </c>
      <c r="AE63">
        <f t="shared" ca="1" si="48"/>
        <v>314.39599088807955</v>
      </c>
      <c r="AF63">
        <f t="shared" ca="1" si="48"/>
        <v>313.26266743129918</v>
      </c>
      <c r="AG63">
        <f t="shared" ca="1" si="48"/>
        <v>312.69524927983844</v>
      </c>
      <c r="AH63">
        <f t="shared" ca="1" si="48"/>
        <v>311.29276771674989</v>
      </c>
      <c r="AI63">
        <f t="shared" ca="1" si="48"/>
        <v>309.44592728639805</v>
      </c>
      <c r="AJ63">
        <f t="shared" ca="1" si="48"/>
        <v>309.94339402241417</v>
      </c>
      <c r="AK63">
        <f t="shared" ca="1" si="48"/>
        <v>310.90576224668132</v>
      </c>
      <c r="AL63">
        <f t="shared" ca="1" si="48"/>
        <v>310.69087913947556</v>
      </c>
      <c r="AM63">
        <f t="shared" ca="1" si="48"/>
        <v>311.5381258709113</v>
      </c>
      <c r="AN63">
        <f t="shared" ca="1" si="48"/>
        <v>312.38571378479298</v>
      </c>
      <c r="AO63">
        <f t="shared" ca="1" si="48"/>
        <v>311.95614149443662</v>
      </c>
      <c r="AP63">
        <f t="shared" ca="1" si="48"/>
        <v>313.24481354387729</v>
      </c>
      <c r="AQ63">
        <f t="shared" ca="1" si="48"/>
        <v>312.93604789388951</v>
      </c>
      <c r="AR63">
        <f t="shared" ca="1" si="48"/>
        <v>313.28445363087485</v>
      </c>
      <c r="AS63">
        <f t="shared" ca="1" si="48"/>
        <v>316.70736469388532</v>
      </c>
      <c r="AT63">
        <f t="shared" ca="1" si="48"/>
        <v>316.95428575842271</v>
      </c>
      <c r="AU63">
        <f t="shared" ca="1" si="48"/>
        <v>315.53460328967623</v>
      </c>
      <c r="AV63">
        <f t="shared" ca="1" si="48"/>
        <v>316.48644255209257</v>
      </c>
      <c r="AW63">
        <f t="shared" ca="1" si="48"/>
        <v>315.80289431322501</v>
      </c>
      <c r="AX63">
        <f t="shared" ca="1" si="48"/>
        <v>315.58108392145448</v>
      </c>
      <c r="AY63">
        <f t="shared" ca="1" si="48"/>
        <v>314.56184732493159</v>
      </c>
      <c r="AZ63">
        <f t="shared" ca="1" si="48"/>
        <v>314.96326306280793</v>
      </c>
      <c r="BA63">
        <f t="shared" ca="1" si="48"/>
        <v>316.80314275467532</v>
      </c>
      <c r="BB63">
        <f t="shared" ca="1" si="48"/>
        <v>319.14991580829189</v>
      </c>
      <c r="BC63">
        <f t="shared" ca="1" si="48"/>
        <v>317.97092402019553</v>
      </c>
      <c r="BD63">
        <f t="shared" ca="1" si="48"/>
        <v>319.84185169998244</v>
      </c>
      <c r="BE63">
        <f t="shared" ca="1" si="48"/>
        <v>319.5193842931634</v>
      </c>
      <c r="BF63">
        <f t="shared" ca="1" si="48"/>
        <v>317.52680660899506</v>
      </c>
      <c r="BG63">
        <f t="shared" ca="1" si="48"/>
        <v>319.42321630850984</v>
      </c>
      <c r="BH63">
        <f t="shared" ca="1" si="48"/>
        <v>321.60208445869546</v>
      </c>
      <c r="BI63">
        <f t="shared" ca="1" si="48"/>
        <v>320.00667307133745</v>
      </c>
      <c r="BJ63">
        <f t="shared" ca="1" si="48"/>
        <v>318.49845456266695</v>
      </c>
      <c r="BK63">
        <f t="shared" ca="1" si="48"/>
        <v>319.28597844931272</v>
      </c>
      <c r="BL63">
        <f t="shared" ca="1" si="48"/>
        <v>322.10505145868291</v>
      </c>
      <c r="BM63">
        <f t="shared" ca="1" si="48"/>
        <v>318.72038253537409</v>
      </c>
      <c r="BN63">
        <f t="shared" ca="1" si="48"/>
        <v>318.04968960127104</v>
      </c>
      <c r="BO63">
        <f t="shared" ca="1" si="48"/>
        <v>318.64085579669705</v>
      </c>
      <c r="BP63">
        <f t="shared" ca="1" si="48"/>
        <v>315.32270536080341</v>
      </c>
      <c r="BQ63">
        <f t="shared" ca="1" si="48"/>
        <v>316.8595696119142</v>
      </c>
      <c r="BR63">
        <f t="shared" ca="1" si="48"/>
        <v>317.0384655694553</v>
      </c>
      <c r="BS63">
        <f t="shared" ca="1" si="48"/>
        <v>315.87192046400583</v>
      </c>
      <c r="BT63">
        <f t="shared" ca="1" si="48"/>
        <v>314.37363478910862</v>
      </c>
      <c r="BU63">
        <f t="shared" ca="1" si="48"/>
        <v>312.99524301382058</v>
      </c>
      <c r="BV63">
        <f t="shared" ca="1" si="48"/>
        <v>311.45743383752654</v>
      </c>
      <c r="BW63">
        <f t="shared" ca="1" si="48"/>
        <v>311.07337637625568</v>
      </c>
      <c r="BX63">
        <f t="shared" ref="BX63:DG63" ca="1" si="49">+BX61-2*_xlfn.STDEV.S(BX49:BX58)</f>
        <v>311.1424488838058</v>
      </c>
      <c r="BY63">
        <f t="shared" ca="1" si="49"/>
        <v>310.77374314104213</v>
      </c>
      <c r="BZ63">
        <f t="shared" ca="1" si="49"/>
        <v>313.53652982721758</v>
      </c>
      <c r="CA63">
        <f t="shared" ca="1" si="49"/>
        <v>313.3120658491971</v>
      </c>
      <c r="CB63">
        <f t="shared" ca="1" si="49"/>
        <v>312.40504969269386</v>
      </c>
      <c r="CC63">
        <f t="shared" ca="1" si="49"/>
        <v>310.7495592315463</v>
      </c>
      <c r="CD63">
        <f t="shared" ca="1" si="49"/>
        <v>312.00386564572824</v>
      </c>
      <c r="CE63">
        <f t="shared" ca="1" si="49"/>
        <v>313.62412038739603</v>
      </c>
      <c r="CF63">
        <f t="shared" ca="1" si="49"/>
        <v>310.46087554281627</v>
      </c>
      <c r="CG63">
        <f t="shared" ca="1" si="49"/>
        <v>311.1209450981442</v>
      </c>
      <c r="CH63">
        <f t="shared" ca="1" si="49"/>
        <v>310.91706019806941</v>
      </c>
      <c r="CI63">
        <f t="shared" ca="1" si="49"/>
        <v>310.12736731826851</v>
      </c>
      <c r="CJ63">
        <f t="shared" ca="1" si="49"/>
        <v>307.37189564097696</v>
      </c>
      <c r="CK63">
        <f t="shared" ca="1" si="49"/>
        <v>308.06713335321768</v>
      </c>
      <c r="CL63">
        <f t="shared" ca="1" si="49"/>
        <v>306.06024809697482</v>
      </c>
      <c r="CM63">
        <f t="shared" ca="1" si="49"/>
        <v>307.34310180280818</v>
      </c>
      <c r="CN63">
        <f t="shared" ca="1" si="49"/>
        <v>304.00120409102749</v>
      </c>
      <c r="CO63">
        <f t="shared" ca="1" si="49"/>
        <v>305.5089275988534</v>
      </c>
      <c r="CP63">
        <f t="shared" ca="1" si="49"/>
        <v>303.3428233106136</v>
      </c>
      <c r="CQ63">
        <f t="shared" ca="1" si="49"/>
        <v>302.35242834070954</v>
      </c>
      <c r="CR63">
        <f t="shared" ca="1" si="49"/>
        <v>302.48130078830491</v>
      </c>
      <c r="CS63">
        <f t="shared" ca="1" si="49"/>
        <v>303.64179573011057</v>
      </c>
      <c r="CT63">
        <f t="shared" ca="1" si="49"/>
        <v>301.98554121759634</v>
      </c>
      <c r="CU63">
        <f t="shared" ca="1" si="49"/>
        <v>304.61578521707537</v>
      </c>
      <c r="CV63">
        <f t="shared" ca="1" si="49"/>
        <v>305.74113981601772</v>
      </c>
      <c r="CW63">
        <f t="shared" ca="1" si="49"/>
        <v>305.38126348844867</v>
      </c>
      <c r="CX63">
        <f t="shared" ca="1" si="49"/>
        <v>304.06262305085511</v>
      </c>
      <c r="CY63">
        <f t="shared" ca="1" si="49"/>
        <v>304.08839935956593</v>
      </c>
      <c r="CZ63">
        <f t="shared" ca="1" si="49"/>
        <v>304.54031278686369</v>
      </c>
      <c r="DA63">
        <f t="shared" ca="1" si="49"/>
        <v>304.72312182536007</v>
      </c>
      <c r="DB63">
        <f t="shared" ca="1" si="49"/>
        <v>303.47735876864436</v>
      </c>
      <c r="DC63">
        <f t="shared" ca="1" si="49"/>
        <v>303.76973265735978</v>
      </c>
      <c r="DD63">
        <f t="shared" ca="1" si="49"/>
        <v>300.83491835338947</v>
      </c>
      <c r="DE63">
        <f t="shared" ca="1" si="49"/>
        <v>299.67674868228983</v>
      </c>
      <c r="DF63">
        <f t="shared" ca="1" si="49"/>
        <v>301.56021867800274</v>
      </c>
      <c r="DG63">
        <f t="shared" ca="1" si="49"/>
        <v>301.49778121018738</v>
      </c>
    </row>
    <row r="64" spans="1:111">
      <c r="A64" s="2">
        <v>46017</v>
      </c>
      <c r="B64">
        <v>272.65780639648438</v>
      </c>
      <c r="C64">
        <f t="shared" si="0"/>
        <v>-6.5082372252149221E-4</v>
      </c>
    </row>
    <row r="65" spans="1:24">
      <c r="A65" s="2">
        <v>46020</v>
      </c>
      <c r="B65">
        <v>273.01687622070313</v>
      </c>
      <c r="C65">
        <f t="shared" si="0"/>
        <v>5.7155690286384518E-4</v>
      </c>
    </row>
    <row r="66" spans="1:24">
      <c r="A66" s="2">
        <v>46021</v>
      </c>
      <c r="B66">
        <v>272.33868408203119</v>
      </c>
      <c r="C66">
        <f t="shared" si="0"/>
        <v>-1.0801586222519068E-3</v>
      </c>
      <c r="J66" t="s">
        <v>28</v>
      </c>
      <c r="K66" t="s">
        <v>29</v>
      </c>
      <c r="N66" t="s">
        <v>30</v>
      </c>
    </row>
    <row r="67" spans="1:24">
      <c r="A67" s="2">
        <v>46022</v>
      </c>
      <c r="B67">
        <v>271.12200927734381</v>
      </c>
      <c r="C67">
        <f t="shared" si="0"/>
        <v>-1.9445602715385032E-3</v>
      </c>
    </row>
    <row r="68" spans="1:24">
      <c r="A68" s="2">
        <v>46024</v>
      </c>
      <c r="B68">
        <v>270.27432250976563</v>
      </c>
      <c r="C68">
        <f t="shared" si="0"/>
        <v>-1.3599869994277973E-3</v>
      </c>
      <c r="J68">
        <v>259.623291015625</v>
      </c>
      <c r="K68" t="s">
        <v>31</v>
      </c>
      <c r="L68" t="s">
        <v>32</v>
      </c>
      <c r="M68" t="s">
        <v>33</v>
      </c>
      <c r="N68" t="s">
        <v>34</v>
      </c>
      <c r="O68">
        <v>1</v>
      </c>
      <c r="P68">
        <f>+O68+1</f>
        <v>2</v>
      </c>
      <c r="Q68">
        <f t="shared" ref="Q68:W68" si="50">+P68+1</f>
        <v>3</v>
      </c>
      <c r="R68">
        <f t="shared" si="50"/>
        <v>4</v>
      </c>
      <c r="S68">
        <f t="shared" si="50"/>
        <v>5</v>
      </c>
      <c r="T68">
        <f t="shared" si="50"/>
        <v>6</v>
      </c>
      <c r="U68">
        <f t="shared" si="50"/>
        <v>7</v>
      </c>
      <c r="V68">
        <f t="shared" si="50"/>
        <v>8</v>
      </c>
      <c r="W68">
        <f t="shared" si="50"/>
        <v>9</v>
      </c>
      <c r="X68">
        <f>+W68+1</f>
        <v>10</v>
      </c>
    </row>
    <row r="69" spans="1:24">
      <c r="A69" s="2">
        <v>46027</v>
      </c>
      <c r="B69">
        <v>266.53451538085938</v>
      </c>
      <c r="C69">
        <f t="shared" si="0"/>
        <v>-6.0513306127606527E-3</v>
      </c>
      <c r="J69">
        <v>258.33682250976563</v>
      </c>
      <c r="K69">
        <f ca="1">+AVERAGE(O69:X69)</f>
        <v>259.52504567561709</v>
      </c>
      <c r="L69">
        <f ca="1">+J69-K69</f>
        <v>-1.1882231658514684</v>
      </c>
      <c r="M69">
        <f ca="1">+L69*L69</f>
        <v>1.411874291866086</v>
      </c>
      <c r="N69">
        <f ca="1">+ABS((J69-K69)/J69)</f>
        <v>4.5995114219791536E-3</v>
      </c>
      <c r="O69">
        <f ca="1">+$J68+$J68*$F$5*$G$10+$J68*$G$5*L$23</f>
        <v>260.70739019713011</v>
      </c>
      <c r="P69">
        <f ca="1">+$J68+$J68*$F$5*$G$10+$J68*$G$5*M$23</f>
        <v>259.35864533894744</v>
      </c>
      <c r="Q69">
        <f ca="1">+$J68+$J68*$F$5*$G$10+$J68*$G$5*N$23</f>
        <v>259.59990905184134</v>
      </c>
      <c r="R69">
        <f ca="1">+$J68+$J68*$F$5*$G$10+$J68*$G$5*O$23</f>
        <v>259.24083523359559</v>
      </c>
      <c r="S69">
        <f ca="1">+$J68+$J68*$F$5*$G$10+$J68*$G$5*P$23</f>
        <v>257.88824368043004</v>
      </c>
      <c r="T69">
        <f ca="1">+$J68+$J68*$F$5*$G$10+$J68*$G$5*Q$23</f>
        <v>257.94474148323405</v>
      </c>
      <c r="U69">
        <f ca="1">+$J68+$J68*$F$5*$G$10+$J68*$G$5*R$23</f>
        <v>260.42566338495385</v>
      </c>
      <c r="V69">
        <f ca="1">+$J68+$J68*$F$5*$G$10+$J68*$G$5*S$23</f>
        <v>262.56361658330002</v>
      </c>
      <c r="W69">
        <f ca="1">+$J68+$J68*$F$5*$G$10+$J68*$G$5*T$23</f>
        <v>261.1624485916476</v>
      </c>
      <c r="X69">
        <f ca="1">+$J68+$J68*$F$5*$G$10+$J68*$G$5*U$23</f>
        <v>256.35896321108999</v>
      </c>
    </row>
    <row r="70" spans="1:24">
      <c r="A70" s="2">
        <v>46028</v>
      </c>
      <c r="B70">
        <v>261.64779663085938</v>
      </c>
      <c r="C70">
        <f t="shared" ref="C70:C133" si="51">+LOG(B70/B69)</f>
        <v>-8.0363749304624334E-3</v>
      </c>
      <c r="J70">
        <v>258.66592407226563</v>
      </c>
      <c r="K70">
        <f t="shared" ref="K70:K133" ca="1" si="52">+AVERAGE(O70:X70)</f>
        <v>258.23906398869929</v>
      </c>
      <c r="L70">
        <f t="shared" ref="L70:L133" ca="1" si="53">+J70-K70</f>
        <v>0.4268600835663392</v>
      </c>
      <c r="M70">
        <f t="shared" ref="M70:M133" ca="1" si="54">+L70*L70</f>
        <v>0.18220953094226208</v>
      </c>
      <c r="N70">
        <f t="shared" ref="N70:N133" ca="1" si="55">+ABS((J70-K70)/J70)</f>
        <v>1.6502370194192404E-3</v>
      </c>
      <c r="O70">
        <f ca="1">+$J69+$J69*$F$5*$G$10+$J69*$G$5*L$23</f>
        <v>259.41554983326529</v>
      </c>
      <c r="P70">
        <f ca="1">+$J69+$J69*$F$5*$G$10+$J69*$G$5*M$23</f>
        <v>258.07348818819383</v>
      </c>
      <c r="Q70">
        <f ca="1">+$J69+$J69*$F$5*$G$10+$J69*$G$5*N$23</f>
        <v>258.31355640677356</v>
      </c>
      <c r="R70">
        <f ca="1">+$J69+$J69*$F$5*$G$10+$J69*$G$5*O$23</f>
        <v>257.95626184784095</v>
      </c>
      <c r="S70">
        <f ca="1">+$J69+$J69*$F$5*$G$10+$J69*$G$5*P$23</f>
        <v>256.61037256868025</v>
      </c>
      <c r="T70">
        <f ca="1">+$J69+$J69*$F$5*$G$10+$J69*$G$5*Q$23</f>
        <v>256.66659041723335</v>
      </c>
      <c r="U70">
        <f ca="1">+$J69+$J69*$F$5*$G$10+$J69*$G$5*R$23</f>
        <v>259.13521901553048</v>
      </c>
      <c r="V70">
        <f ca="1">+$J69+$J69*$F$5*$G$10+$J69*$G$5*S$23</f>
        <v>261.26257836674557</v>
      </c>
      <c r="W70">
        <f ca="1">+$J69+$J69*$F$5*$G$10+$J69*$G$5*T$23</f>
        <v>259.8683533519179</v>
      </c>
      <c r="X70">
        <f ca="1">+$J69+$J69*$F$5*$G$10+$J69*$G$5*U$23</f>
        <v>255.08866989081159</v>
      </c>
    </row>
    <row r="71" spans="1:24">
      <c r="A71" s="2">
        <v>46029</v>
      </c>
      <c r="B71">
        <v>259.623291015625</v>
      </c>
      <c r="C71">
        <f t="shared" si="51"/>
        <v>-3.373431056786275E-3</v>
      </c>
      <c r="J71">
        <v>259.54351806640619</v>
      </c>
      <c r="K71">
        <f t="shared" ca="1" si="52"/>
        <v>258.5680410142412</v>
      </c>
      <c r="L71">
        <f t="shared" ca="1" si="53"/>
        <v>0.97547705216499025</v>
      </c>
      <c r="M71">
        <f t="shared" ca="1" si="54"/>
        <v>0.95155547930049911</v>
      </c>
      <c r="N71">
        <f t="shared" ca="1" si="55"/>
        <v>3.7584334967495007E-3</v>
      </c>
      <c r="O71">
        <f ca="1">+$J70+$J70*$F$5*$G$10+$J70*$G$5*L$23</f>
        <v>259.74602561274384</v>
      </c>
      <c r="P71">
        <f ca="1">+$J70+$J70*$F$5*$G$10+$J70*$G$5*M$23</f>
        <v>258.40225428269571</v>
      </c>
      <c r="Q71">
        <f ca="1">+$J70+$J70*$F$5*$G$10+$J70*$G$5*N$23</f>
        <v>258.64262833001897</v>
      </c>
      <c r="R71">
        <f ca="1">+$J70+$J70*$F$5*$G$10+$J70*$G$5*O$23</f>
        <v>258.2848786048562</v>
      </c>
      <c r="S71">
        <f ca="1">+$J70+$J70*$F$5*$G$10+$J70*$G$5*P$23</f>
        <v>256.93727476460265</v>
      </c>
      <c r="T71">
        <f ca="1">+$J70+$J70*$F$5*$G$10+$J70*$G$5*Q$23</f>
        <v>256.9935642304406</v>
      </c>
      <c r="U71">
        <f ca="1">+$J70+$J70*$F$5*$G$10+$J70*$G$5*R$23</f>
        <v>259.46533767476097</v>
      </c>
      <c r="V71">
        <f ca="1">+$J70+$J70*$F$5*$G$10+$J70*$G$5*S$23</f>
        <v>261.59540712080377</v>
      </c>
      <c r="W71">
        <f ca="1">+$J70+$J70*$F$5*$G$10+$J70*$G$5*T$23</f>
        <v>260.19940596881372</v>
      </c>
      <c r="X71">
        <f ca="1">+$J70+$J70*$F$5*$G$10+$J70*$G$5*U$23</f>
        <v>255.41363355267569</v>
      </c>
    </row>
    <row r="72" spans="1:24">
      <c r="A72" s="2">
        <v>46030</v>
      </c>
      <c r="B72">
        <v>258.33682250976563</v>
      </c>
      <c r="C72">
        <f t="shared" si="51"/>
        <v>-2.1573372447567631E-3</v>
      </c>
      <c r="J72">
        <v>260.34133911132813</v>
      </c>
      <c r="K72">
        <f t="shared" ca="1" si="52"/>
        <v>259.44530291367641</v>
      </c>
      <c r="L72">
        <f t="shared" ca="1" si="53"/>
        <v>0.89603619765171061</v>
      </c>
      <c r="M72">
        <f t="shared" ca="1" si="54"/>
        <v>0.80288086750213539</v>
      </c>
      <c r="N72">
        <f t="shared" ca="1" si="55"/>
        <v>3.4417745591626705E-3</v>
      </c>
      <c r="O72">
        <f ca="1">+$J71+$J71*$F$5*$G$10+$J71*$G$5*L$23</f>
        <v>260.62728414301682</v>
      </c>
      <c r="P72">
        <f ca="1">+$J71+$J71*$F$5*$G$10+$J71*$G$5*M$23</f>
        <v>259.2789537058772</v>
      </c>
      <c r="Q72">
        <f ca="1">+$J71+$J71*$F$5*$G$10+$J71*$G$5*N$23</f>
        <v>259.52014328706349</v>
      </c>
      <c r="R72">
        <f ca="1">+$J71+$J71*$F$5*$G$10+$J71*$G$5*O$23</f>
        <v>259.16117979935609</v>
      </c>
      <c r="S72">
        <f ca="1">+$J71+$J71*$F$5*$G$10+$J71*$G$5*P$23</f>
        <v>257.80900384918539</v>
      </c>
      <c r="T72">
        <f ca="1">+$J71+$J71*$F$5*$G$10+$J71*$G$5*Q$23</f>
        <v>257.86548429223581</v>
      </c>
      <c r="U72">
        <f ca="1">+$J71+$J71*$F$5*$G$10+$J71*$G$5*R$23</f>
        <v>260.34564389541106</v>
      </c>
      <c r="V72">
        <f ca="1">+$J71+$J71*$F$5*$G$10+$J71*$G$5*S$23</f>
        <v>262.48294017722532</v>
      </c>
      <c r="W72">
        <f ca="1">+$J71+$J71*$F$5*$G$10+$J71*$G$5*T$23</f>
        <v>261.08220271436949</v>
      </c>
      <c r="X72">
        <f ca="1">+$J71+$J71*$F$5*$G$10+$J71*$G$5*U$23</f>
        <v>256.28019327302303</v>
      </c>
    </row>
    <row r="73" spans="1:24">
      <c r="A73" s="2">
        <v>46031</v>
      </c>
      <c r="B73">
        <v>258.66592407226563</v>
      </c>
      <c r="C73">
        <f t="shared" si="51"/>
        <v>5.5290619954842101E-4</v>
      </c>
      <c r="J73">
        <v>259.25433349609381</v>
      </c>
      <c r="K73">
        <f t="shared" ca="1" si="52"/>
        <v>260.24282205117117</v>
      </c>
      <c r="L73">
        <f t="shared" ca="1" si="53"/>
        <v>-0.98848855507736744</v>
      </c>
      <c r="M73">
        <f t="shared" ca="1" si="54"/>
        <v>0.97710962351894171</v>
      </c>
      <c r="N73">
        <f t="shared" ca="1" si="55"/>
        <v>3.8128140106566859E-3</v>
      </c>
      <c r="O73">
        <f ca="1">+$J72+$J72*$F$5*$G$10+$J72*$G$5*L$23</f>
        <v>261.42843661917669</v>
      </c>
      <c r="P73">
        <f ca="1">+$J72+$J72*$F$5*$G$10+$J72*$G$5*M$23</f>
        <v>260.07596149598879</v>
      </c>
      <c r="Q73">
        <f ca="1">+$J72+$J72*$F$5*$G$10+$J72*$G$5*N$23</f>
        <v>260.31789247933034</v>
      </c>
      <c r="R73">
        <f ca="1">+$J72+$J72*$F$5*$G$10+$J72*$G$5*O$23</f>
        <v>259.95782555961671</v>
      </c>
      <c r="S73">
        <f ca="1">+$J72+$J72*$F$5*$G$10+$J72*$G$5*P$23</f>
        <v>258.6014931025237</v>
      </c>
      <c r="T73">
        <f ca="1">+$J72+$J72*$F$5*$G$10+$J72*$G$5*Q$23</f>
        <v>258.65814716303305</v>
      </c>
      <c r="U73">
        <f ca="1">+$J72+$J72*$F$5*$G$10+$J72*$G$5*R$23</f>
        <v>261.14593062651858</v>
      </c>
      <c r="V73">
        <f ca="1">+$J72+$J72*$F$5*$G$10+$J72*$G$5*S$23</f>
        <v>263.2897968275725</v>
      </c>
      <c r="W73">
        <f ca="1">+$J72+$J72*$F$5*$G$10+$J72*$G$5*T$23</f>
        <v>261.88475358264742</v>
      </c>
      <c r="X73">
        <f ca="1">+$J72+$J72*$F$5*$G$10+$J72*$G$5*U$23</f>
        <v>257.06798305530361</v>
      </c>
    </row>
    <row r="74" spans="1:24">
      <c r="A74" s="2">
        <v>46034</v>
      </c>
      <c r="B74">
        <v>259.54351806640619</v>
      </c>
      <c r="C74">
        <f t="shared" si="51"/>
        <v>1.4709673825956371E-3</v>
      </c>
      <c r="J74">
        <v>257.50906372070313</v>
      </c>
      <c r="K74">
        <f t="shared" ca="1" si="52"/>
        <v>259.15622777513465</v>
      </c>
      <c r="L74">
        <f t="shared" ca="1" si="53"/>
        <v>-1.6471640544315278</v>
      </c>
      <c r="M74">
        <f t="shared" ca="1" si="54"/>
        <v>2.7131494222113091</v>
      </c>
      <c r="N74">
        <f t="shared" ca="1" si="55"/>
        <v>6.3965284585790665E-3</v>
      </c>
      <c r="O74">
        <f ca="1">+$J73+$J73*$F$5*$G$10+$J73*$G$5*L$23</f>
        <v>260.33689203560425</v>
      </c>
      <c r="P74">
        <f ca="1">+$J73+$J73*$F$5*$G$10+$J73*$G$5*M$23</f>
        <v>258.9900639143807</v>
      </c>
      <c r="Q74">
        <f ca="1">+$J73+$J73*$F$5*$G$10+$J73*$G$5*N$23</f>
        <v>259.23098476103672</v>
      </c>
      <c r="R74">
        <f ca="1">+$J73+$J73*$F$5*$G$10+$J73*$G$5*O$23</f>
        <v>258.87242123208279</v>
      </c>
      <c r="S74">
        <f ca="1">+$J73+$J73*$F$5*$G$10+$J73*$G$5*P$23</f>
        <v>257.5217518825163</v>
      </c>
      <c r="T74">
        <f ca="1">+$J73+$J73*$F$5*$G$10+$J73*$G$5*Q$23</f>
        <v>257.57816939479977</v>
      </c>
      <c r="U74">
        <f ca="1">+$J73+$J73*$F$5*$G$10+$J73*$G$5*R$23</f>
        <v>260.05556559284554</v>
      </c>
      <c r="V74">
        <f ca="1">+$J73+$J73*$F$5*$G$10+$J73*$G$5*S$23</f>
        <v>262.19048048940505</v>
      </c>
      <c r="W74">
        <f ca="1">+$J73+$J73*$F$5*$G$10+$J73*$G$5*T$23</f>
        <v>260.79130373461214</v>
      </c>
      <c r="X74">
        <f ca="1">+$J73+$J73*$F$5*$G$10+$J73*$G$5*U$23</f>
        <v>255.99464471406318</v>
      </c>
    </row>
    <row r="75" spans="1:24">
      <c r="A75" s="2">
        <v>46035</v>
      </c>
      <c r="B75">
        <v>260.34133911132813</v>
      </c>
      <c r="C75">
        <f t="shared" si="51"/>
        <v>1.3329472654191358E-3</v>
      </c>
      <c r="J75">
        <v>254.83634948730469</v>
      </c>
      <c r="K75">
        <f t="shared" ca="1" si="52"/>
        <v>257.41161843595455</v>
      </c>
      <c r="L75">
        <f t="shared" ca="1" si="53"/>
        <v>-2.5752689486498639</v>
      </c>
      <c r="M75">
        <f t="shared" ca="1" si="54"/>
        <v>6.6320101578801749</v>
      </c>
      <c r="N75">
        <f t="shared" ca="1" si="55"/>
        <v>1.0105579340745333E-2</v>
      </c>
      <c r="O75">
        <f ca="1">+$J74+$J74*$F$5*$G$10+$J74*$G$5*L$23</f>
        <v>258.58433460305616</v>
      </c>
      <c r="P75">
        <f ca="1">+$J74+$J74*$F$5*$G$10+$J74*$G$5*M$23</f>
        <v>257.24657317082841</v>
      </c>
      <c r="Q75">
        <f ca="1">+$J74+$J74*$F$5*$G$10+$J74*$G$5*N$23</f>
        <v>257.48587216659286</v>
      </c>
      <c r="R75">
        <f ca="1">+$J74+$J74*$F$5*$G$10+$J74*$G$5*O$23</f>
        <v>257.12972244527407</v>
      </c>
      <c r="S75">
        <f ca="1">+$J74+$J74*$F$5*$G$10+$J74*$G$5*P$23</f>
        <v>255.78814564340217</v>
      </c>
      <c r="T75">
        <f ca="1">+$J74+$J74*$F$5*$G$10+$J74*$G$5*Q$23</f>
        <v>255.84418335960791</v>
      </c>
      <c r="U75">
        <f ca="1">+$J74+$J74*$F$5*$G$10+$J74*$G$5*R$23</f>
        <v>258.30490201692442</v>
      </c>
      <c r="V75">
        <f ca="1">+$J74+$J74*$F$5*$G$10+$J74*$G$5*S$23</f>
        <v>260.42544491672021</v>
      </c>
      <c r="W75">
        <f ca="1">+$J74+$J74*$F$5*$G$10+$J74*$G$5*T$23</f>
        <v>259.03568725578634</v>
      </c>
      <c r="X75">
        <f ca="1">+$J74+$J74*$F$5*$G$10+$J74*$G$5*U$23</f>
        <v>254.27131878135296</v>
      </c>
    </row>
    <row r="76" spans="1:24">
      <c r="A76" s="2">
        <v>46036</v>
      </c>
      <c r="B76">
        <v>259.25433349609381</v>
      </c>
      <c r="C76">
        <f t="shared" si="51"/>
        <v>-1.8171099340479001E-3</v>
      </c>
      <c r="J76">
        <v>246.03031921386719</v>
      </c>
      <c r="K76">
        <f t="shared" ca="1" si="52"/>
        <v>254.7399155976338</v>
      </c>
      <c r="L76">
        <f t="shared" ca="1" si="53"/>
        <v>-8.7095963837666091</v>
      </c>
      <c r="M76">
        <f t="shared" ca="1" si="54"/>
        <v>75.85706916812039</v>
      </c>
      <c r="N76">
        <f t="shared" ca="1" si="55"/>
        <v>3.5400500278161259E-2</v>
      </c>
      <c r="O76">
        <f ca="1">+$J75+$J75*$F$5*$G$10+$J75*$G$5*L$23</f>
        <v>255.90046001766657</v>
      </c>
      <c r="P76">
        <f ca="1">+$J75+$J75*$F$5*$G$10+$J75*$G$5*M$23</f>
        <v>254.57658335504323</v>
      </c>
      <c r="Q76">
        <f ca="1">+$J75+$J75*$F$5*$G$10+$J75*$G$5*N$23</f>
        <v>254.81339864082568</v>
      </c>
      <c r="R76">
        <f ca="1">+$J75+$J75*$F$5*$G$10+$J75*$G$5*O$23</f>
        <v>254.46094543572124</v>
      </c>
      <c r="S76">
        <f ca="1">+$J75+$J75*$F$5*$G$10+$J75*$G$5*P$23</f>
        <v>253.13329300358512</v>
      </c>
      <c r="T76">
        <f ca="1">+$J75+$J75*$F$5*$G$10+$J75*$G$5*Q$23</f>
        <v>253.18874909831493</v>
      </c>
      <c r="U76">
        <f ca="1">+$J75+$J75*$F$5*$G$10+$J75*$G$5*R$23</f>
        <v>255.62392769236232</v>
      </c>
      <c r="V76">
        <f ca="1">+$J75+$J75*$F$5*$G$10+$J75*$G$5*S$23</f>
        <v>257.7224612496172</v>
      </c>
      <c r="W76">
        <f ca="1">+$J75+$J75*$F$5*$G$10+$J75*$G$5*T$23</f>
        <v>256.34712803273078</v>
      </c>
      <c r="X76">
        <f ca="1">+$J75+$J75*$F$5*$G$10+$J75*$G$5*U$23</f>
        <v>251.63220945047124</v>
      </c>
    </row>
    <row r="77" spans="1:24">
      <c r="A77" s="2">
        <v>46037</v>
      </c>
      <c r="B77">
        <v>257.50906372070313</v>
      </c>
      <c r="C77">
        <f t="shared" si="51"/>
        <v>-2.9335046514883936E-3</v>
      </c>
      <c r="J77">
        <v>246.9777526855469</v>
      </c>
      <c r="K77">
        <f t="shared" ca="1" si="52"/>
        <v>245.9372176578824</v>
      </c>
      <c r="L77">
        <f t="shared" ca="1" si="53"/>
        <v>1.0405350276645038</v>
      </c>
      <c r="M77">
        <f t="shared" ca="1" si="54"/>
        <v>1.0827131437967696</v>
      </c>
      <c r="N77">
        <f t="shared" ca="1" si="55"/>
        <v>4.2130718914967103E-3</v>
      </c>
      <c r="O77">
        <f ca="1">+$J76+$J76*$F$5*$G$10+$J76*$G$5*L$23</f>
        <v>247.05765873584073</v>
      </c>
      <c r="P77">
        <f ca="1">+$J76+$J76*$F$5*$G$10+$J76*$G$5*M$23</f>
        <v>245.77952946362231</v>
      </c>
      <c r="Q77">
        <f ca="1">+$J76+$J76*$F$5*$G$10+$J76*$G$5*N$23</f>
        <v>246.00816144831757</v>
      </c>
      <c r="R77">
        <f ca="1">+$J76+$J76*$F$5*$G$10+$J76*$G$5*O$23</f>
        <v>245.66788748530465</v>
      </c>
      <c r="S77">
        <f ca="1">+$J76+$J76*$F$5*$G$10+$J76*$G$5*P$23</f>
        <v>244.38611291766281</v>
      </c>
      <c r="T77">
        <f ca="1">+$J76+$J76*$F$5*$G$10+$J76*$G$5*Q$23</f>
        <v>244.43965269217369</v>
      </c>
      <c r="U77">
        <f ca="1">+$J76+$J76*$F$5*$G$10+$J76*$G$5*R$23</f>
        <v>246.79068215889464</v>
      </c>
      <c r="V77">
        <f ca="1">+$J76+$J76*$F$5*$G$10+$J76*$G$5*S$23</f>
        <v>248.8166995697199</v>
      </c>
      <c r="W77">
        <f ca="1">+$J76+$J76*$F$5*$G$10+$J76*$G$5*T$23</f>
        <v>247.48889185682197</v>
      </c>
      <c r="X77">
        <f ca="1">+$J76+$J76*$F$5*$G$10+$J76*$G$5*U$23</f>
        <v>242.93690025046558</v>
      </c>
    </row>
    <row r="78" spans="1:24">
      <c r="A78" s="2">
        <v>46038</v>
      </c>
      <c r="B78">
        <v>254.83634948730469</v>
      </c>
      <c r="C78">
        <f t="shared" si="51"/>
        <v>-4.531144586080736E-3</v>
      </c>
      <c r="J78">
        <v>247.67584228515619</v>
      </c>
      <c r="K78">
        <f t="shared" ca="1" si="52"/>
        <v>246.88429260655289</v>
      </c>
      <c r="L78">
        <f t="shared" ca="1" si="53"/>
        <v>0.79154967860330316</v>
      </c>
      <c r="M78">
        <f t="shared" ca="1" si="54"/>
        <v>0.62655089369699257</v>
      </c>
      <c r="N78">
        <f t="shared" ca="1" si="55"/>
        <v>3.1959099090979153E-3</v>
      </c>
      <c r="O78">
        <f ca="1">+$J77+$J77*$F$5*$G$10+$J77*$G$5*L$23</f>
        <v>248.00904836972441</v>
      </c>
      <c r="P78">
        <f ca="1">+$J77+$J77*$F$5*$G$10+$J77*$G$5*M$23</f>
        <v>246.72599717382803</v>
      </c>
      <c r="Q78">
        <f ca="1">+$J77+$J77*$F$5*$G$10+$J77*$G$5*N$23</f>
        <v>246.95550959307982</v>
      </c>
      <c r="R78">
        <f ca="1">+$J77+$J77*$F$5*$G$10+$J77*$G$5*O$23</f>
        <v>246.61392527554179</v>
      </c>
      <c r="S78">
        <f ca="1">+$J77+$J77*$F$5*$G$10+$J77*$G$5*P$23</f>
        <v>245.32721474662327</v>
      </c>
      <c r="T78">
        <f ca="1">+$J77+$J77*$F$5*$G$10+$J77*$G$5*Q$23</f>
        <v>245.38096069643237</v>
      </c>
      <c r="U78">
        <f ca="1">+$J77+$J77*$F$5*$G$10+$J77*$G$5*R$23</f>
        <v>247.74104369776157</v>
      </c>
      <c r="V78">
        <f ca="1">+$J77+$J77*$F$5*$G$10+$J77*$G$5*S$23</f>
        <v>249.77486306045745</v>
      </c>
      <c r="W78">
        <f ca="1">+$J77+$J77*$F$5*$G$10+$J77*$G$5*T$23</f>
        <v>248.44194211812024</v>
      </c>
      <c r="X78">
        <f ca="1">+$J77+$J77*$F$5*$G$10+$J77*$G$5*U$23</f>
        <v>243.87242133395992</v>
      </c>
    </row>
    <row r="79" spans="1:24">
      <c r="A79" s="2">
        <v>46042</v>
      </c>
      <c r="B79">
        <v>246.03031921386719</v>
      </c>
      <c r="C79">
        <f t="shared" si="51"/>
        <v>-1.5272745121931939E-2</v>
      </c>
      <c r="J79">
        <v>247.36668395996091</v>
      </c>
      <c r="K79">
        <f t="shared" ca="1" si="52"/>
        <v>247.58211803860689</v>
      </c>
      <c r="L79">
        <f t="shared" ca="1" si="53"/>
        <v>-0.21543407864598407</v>
      </c>
      <c r="M79">
        <f t="shared" ca="1" si="54"/>
        <v>4.6411842242044053E-2</v>
      </c>
      <c r="N79">
        <f t="shared" ca="1" si="55"/>
        <v>8.7090983796692079E-4</v>
      </c>
      <c r="O79">
        <f ca="1">+$J78+$J78*$F$5*$G$10+$J78*$G$5*L$23</f>
        <v>248.71005295573801</v>
      </c>
      <c r="P79">
        <f ca="1">+$J78+$J78*$F$5*$G$10+$J78*$G$5*M$23</f>
        <v>247.42337517936673</v>
      </c>
      <c r="Q79">
        <f ca="1">+$J78+$J78*$F$5*$G$10+$J78*$G$5*N$23</f>
        <v>247.65353632195951</v>
      </c>
      <c r="R79">
        <f ca="1">+$J78+$J78*$F$5*$G$10+$J78*$G$5*O$23</f>
        <v>247.31098650669193</v>
      </c>
      <c r="S79">
        <f ca="1">+$J78+$J78*$F$5*$G$10+$J78*$G$5*P$23</f>
        <v>246.02063905409025</v>
      </c>
      <c r="T79">
        <f ca="1">+$J78+$J78*$F$5*$G$10+$J78*$G$5*Q$23</f>
        <v>246.07453691834581</v>
      </c>
      <c r="U79">
        <f ca="1">+$J78+$J78*$F$5*$G$10+$J78*$G$5*R$23</f>
        <v>248.44129076099384</v>
      </c>
      <c r="V79">
        <f ca="1">+$J78+$J78*$F$5*$G$10+$J78*$G$5*S$23</f>
        <v>250.480858771611</v>
      </c>
      <c r="W79">
        <f ca="1">+$J78+$J78*$F$5*$G$10+$J78*$G$5*T$23</f>
        <v>249.14417029055087</v>
      </c>
      <c r="X79">
        <f ca="1">+$J78+$J78*$F$5*$G$10+$J78*$G$5*U$23</f>
        <v>244.56173362672146</v>
      </c>
    </row>
    <row r="80" spans="1:24">
      <c r="A80" s="2">
        <v>46043</v>
      </c>
      <c r="B80">
        <v>246.9777526855469</v>
      </c>
      <c r="C80">
        <f t="shared" si="51"/>
        <v>1.6692044560736802E-3</v>
      </c>
      <c r="J80">
        <v>254.7166748046875</v>
      </c>
      <c r="K80">
        <f t="shared" ca="1" si="52"/>
        <v>247.27307670355012</v>
      </c>
      <c r="L80">
        <f t="shared" ca="1" si="53"/>
        <v>7.4435981011373826</v>
      </c>
      <c r="M80">
        <f t="shared" ca="1" si="54"/>
        <v>55.407152691256051</v>
      </c>
      <c r="N80">
        <f t="shared" ca="1" si="55"/>
        <v>2.9223049911612616E-2</v>
      </c>
      <c r="O80">
        <f ca="1">+$J79+$J79*$F$5*$G$10+$J79*$G$5*L$23</f>
        <v>248.3996036897878</v>
      </c>
      <c r="P80">
        <f ca="1">+$J79+$J79*$F$5*$G$10+$J79*$G$5*M$23</f>
        <v>247.1145319931324</v>
      </c>
      <c r="Q80">
        <f ca="1">+$J79+$J79*$F$5*$G$10+$J79*$G$5*N$23</f>
        <v>247.34440583990855</v>
      </c>
      <c r="R80">
        <f ca="1">+$J79+$J79*$F$5*$G$10+$J79*$G$5*O$23</f>
        <v>247.00228360823655</v>
      </c>
      <c r="S80">
        <f ca="1">+$J79+$J79*$F$5*$G$10+$J79*$G$5*P$23</f>
        <v>245.71354681597902</v>
      </c>
      <c r="T80">
        <f ca="1">+$J79+$J79*$F$5*$G$10+$J79*$G$5*Q$23</f>
        <v>245.76737740288814</v>
      </c>
      <c r="U80">
        <f ca="1">+$J79+$J79*$F$5*$G$10+$J79*$G$5*R$23</f>
        <v>248.13117697414901</v>
      </c>
      <c r="V80">
        <f ca="1">+$J79+$J79*$F$5*$G$10+$J79*$G$5*S$23</f>
        <v>250.16819911907149</v>
      </c>
      <c r="W80">
        <f ca="1">+$J79+$J79*$F$5*$G$10+$J79*$G$5*T$23</f>
        <v>248.83317914297453</v>
      </c>
      <c r="X80">
        <f ca="1">+$J79+$J79*$F$5*$G$10+$J79*$G$5*U$23</f>
        <v>244.25646244937408</v>
      </c>
    </row>
    <row r="81" spans="1:24">
      <c r="A81" s="2">
        <v>46044</v>
      </c>
      <c r="B81">
        <v>247.67584228515619</v>
      </c>
      <c r="C81">
        <f t="shared" si="51"/>
        <v>1.2258140458055497E-3</v>
      </c>
      <c r="J81">
        <v>257.56887817382813</v>
      </c>
      <c r="K81">
        <f t="shared" ca="1" si="52"/>
        <v>254.62028620170818</v>
      </c>
      <c r="L81">
        <f t="shared" ca="1" si="53"/>
        <v>2.9485919721199423</v>
      </c>
      <c r="M81">
        <f t="shared" ca="1" si="54"/>
        <v>8.6941946180501706</v>
      </c>
      <c r="N81">
        <f t="shared" ca="1" si="55"/>
        <v>1.1447780465658572E-2</v>
      </c>
      <c r="O81">
        <f ca="1">+$J80+$J80*$F$5*$G$10+$J80*$G$5*L$23</f>
        <v>255.78028561399216</v>
      </c>
      <c r="P81">
        <f ca="1">+$J80+$J80*$F$5*$G$10+$J80*$G$5*M$23</f>
        <v>254.45703066220301</v>
      </c>
      <c r="Q81">
        <f ca="1">+$J80+$J80*$F$5*$G$10+$J80*$G$5*N$23</f>
        <v>254.69373473624418</v>
      </c>
      <c r="R81">
        <f ca="1">+$J80+$J80*$F$5*$G$10+$J80*$G$5*O$23</f>
        <v>254.34144704805109</v>
      </c>
      <c r="S81">
        <f ca="1">+$J80+$J80*$F$5*$G$10+$J80*$G$5*P$23</f>
        <v>253.01441809990288</v>
      </c>
      <c r="T81">
        <f ca="1">+$J80+$J80*$F$5*$G$10+$J80*$G$5*Q$23</f>
        <v>253.06984815168178</v>
      </c>
      <c r="U81">
        <f ca="1">+$J80+$J80*$F$5*$G$10+$J80*$G$5*R$23</f>
        <v>255.50388315210154</v>
      </c>
      <c r="V81">
        <f ca="1">+$J80+$J80*$F$5*$G$10+$J80*$G$5*S$23</f>
        <v>257.60143120890513</v>
      </c>
      <c r="W81">
        <f ca="1">+$J80+$J80*$F$5*$G$10+$J80*$G$5*T$23</f>
        <v>256.22674386756415</v>
      </c>
      <c r="X81">
        <f ca="1">+$J80+$J80*$F$5*$G$10+$J80*$G$5*U$23</f>
        <v>251.51403947643564</v>
      </c>
    </row>
    <row r="82" spans="1:24">
      <c r="A82" s="2">
        <v>46045</v>
      </c>
      <c r="B82">
        <v>247.36668395996091</v>
      </c>
      <c r="C82">
        <f t="shared" si="51"/>
        <v>-5.4244136615982594E-4</v>
      </c>
      <c r="J82">
        <v>255.743896484375</v>
      </c>
      <c r="K82">
        <f t="shared" ca="1" si="52"/>
        <v>257.47141025439498</v>
      </c>
      <c r="L82">
        <f t="shared" ca="1" si="53"/>
        <v>-1.7275137700199821</v>
      </c>
      <c r="M82">
        <f t="shared" ca="1" si="54"/>
        <v>2.9843038256086514</v>
      </c>
      <c r="N82">
        <f t="shared" ca="1" si="55"/>
        <v>6.7548582537746964E-3</v>
      </c>
      <c r="O82">
        <f ca="1">+$J81+$J81*$F$5*$G$10+$J81*$G$5*L$23</f>
        <v>258.64439882113646</v>
      </c>
      <c r="P82">
        <f ca="1">+$J81+$J81*$F$5*$G$10+$J81*$G$5*M$23</f>
        <v>257.30632665239585</v>
      </c>
      <c r="Q82">
        <f ca="1">+$J81+$J81*$F$5*$G$10+$J81*$G$5*N$23</f>
        <v>257.54568123276135</v>
      </c>
      <c r="R82">
        <f ca="1">+$J81+$J81*$F$5*$G$10+$J81*$G$5*O$23</f>
        <v>257.18944878464254</v>
      </c>
      <c r="S82">
        <f ca="1">+$J81+$J81*$F$5*$G$10+$J81*$G$5*P$23</f>
        <v>255.84756036002011</v>
      </c>
      <c r="T82">
        <f ca="1">+$J81+$J81*$F$5*$G$10+$J81*$G$5*Q$23</f>
        <v>255.9036110927205</v>
      </c>
      <c r="U82">
        <f ca="1">+$J81+$J81*$F$5*$G$10+$J81*$G$5*R$23</f>
        <v>258.36490132813469</v>
      </c>
      <c r="V82">
        <f ca="1">+$J81+$J81*$F$5*$G$10+$J81*$G$5*S$23</f>
        <v>260.48593678967586</v>
      </c>
      <c r="W82">
        <f ca="1">+$J81+$J81*$F$5*$G$10+$J81*$G$5*T$23</f>
        <v>259.09585631449511</v>
      </c>
      <c r="X82">
        <f ca="1">+$J81+$J81*$F$5*$G$10+$J81*$G$5*U$23</f>
        <v>254.33038116796772</v>
      </c>
    </row>
    <row r="83" spans="1:24">
      <c r="A83" s="2">
        <v>46048</v>
      </c>
      <c r="B83">
        <v>254.7166748046875</v>
      </c>
      <c r="C83">
        <f t="shared" si="51"/>
        <v>1.2716169372674732E-2</v>
      </c>
      <c r="J83">
        <v>257.57888793945313</v>
      </c>
      <c r="K83">
        <f t="shared" ca="1" si="52"/>
        <v>255.64711916533406</v>
      </c>
      <c r="L83">
        <f t="shared" ca="1" si="53"/>
        <v>1.9317687741190639</v>
      </c>
      <c r="M83">
        <f t="shared" ca="1" si="54"/>
        <v>3.7317305966614711</v>
      </c>
      <c r="N83">
        <f t="shared" ca="1" si="55"/>
        <v>7.4997170364876657E-3</v>
      </c>
      <c r="O83">
        <f ca="1">+$J82+$J82*$F$5*$G$10+$J82*$G$5*L$23</f>
        <v>256.81179662449358</v>
      </c>
      <c r="P83">
        <f ca="1">+$J82+$J82*$F$5*$G$10+$J82*$G$5*M$23</f>
        <v>255.48320524871386</v>
      </c>
      <c r="Q83">
        <f ca="1">+$J82+$J82*$F$5*$G$10+$J82*$G$5*N$23</f>
        <v>255.72086390319902</v>
      </c>
      <c r="R83">
        <f ca="1">+$J82+$J82*$F$5*$G$10+$J82*$G$5*O$23</f>
        <v>255.36715550883866</v>
      </c>
      <c r="S83">
        <f ca="1">+$J82+$J82*$F$5*$G$10+$J82*$G$5*P$23</f>
        <v>254.03477491692328</v>
      </c>
      <c r="T83">
        <f ca="1">+$J82+$J82*$F$5*$G$10+$J82*$G$5*Q$23</f>
        <v>254.09042850707453</v>
      </c>
      <c r="U83">
        <f ca="1">+$J82+$J82*$F$5*$G$10+$J82*$G$5*R$23</f>
        <v>256.53427948645788</v>
      </c>
      <c r="V83">
        <f ca="1">+$J82+$J82*$F$5*$G$10+$J82*$G$5*S$23</f>
        <v>258.64028653731742</v>
      </c>
      <c r="W83">
        <f ca="1">+$J82+$J82*$F$5*$G$10+$J82*$G$5*T$23</f>
        <v>257.26005535539002</v>
      </c>
      <c r="X83">
        <f ca="1">+$J82+$J82*$F$5*$G$10+$J82*$G$5*U$23</f>
        <v>252.52834556493212</v>
      </c>
    </row>
    <row r="84" spans="1:24">
      <c r="A84" s="2">
        <v>46049</v>
      </c>
      <c r="B84">
        <v>257.56887817382813</v>
      </c>
      <c r="C84">
        <f t="shared" si="51"/>
        <v>4.8360098255567363E-3</v>
      </c>
      <c r="J84">
        <v>258.775634765625</v>
      </c>
      <c r="K84">
        <f t="shared" ca="1" si="52"/>
        <v>257.48141623217487</v>
      </c>
      <c r="L84">
        <f t="shared" ca="1" si="53"/>
        <v>1.2942185334501346</v>
      </c>
      <c r="M84">
        <f t="shared" ca="1" si="54"/>
        <v>1.6750016123258171</v>
      </c>
      <c r="N84">
        <f t="shared" ca="1" si="55"/>
        <v>5.001315269199582E-3</v>
      </c>
      <c r="O84">
        <f ca="1">+$J83+$J83*$F$5*$G$10+$J83*$G$5*L$23</f>
        <v>258.65445038416215</v>
      </c>
      <c r="P84">
        <f ca="1">+$J83+$J83*$F$5*$G$10+$J83*$G$5*M$23</f>
        <v>257.31632621461739</v>
      </c>
      <c r="Q84">
        <f ca="1">+$J83+$J83*$F$5*$G$10+$J83*$G$5*N$23</f>
        <v>257.55569009689566</v>
      </c>
      <c r="R84">
        <f ca="1">+$J83+$J83*$F$5*$G$10+$J83*$G$5*O$23</f>
        <v>257.19944380470014</v>
      </c>
      <c r="S84">
        <f ca="1">+$J83+$J83*$F$5*$G$10+$J83*$G$5*P$23</f>
        <v>255.85750323096434</v>
      </c>
      <c r="T84">
        <f ca="1">+$J83+$J83*$F$5*$G$10+$J83*$G$5*Q$23</f>
        <v>255.91355614193526</v>
      </c>
      <c r="U84">
        <f ca="1">+$J83+$J83*$F$5*$G$10+$J83*$G$5*R$23</f>
        <v>258.37494202919436</v>
      </c>
      <c r="V84">
        <f ca="1">+$J83+$J83*$F$5*$G$10+$J83*$G$5*S$23</f>
        <v>260.49605991943577</v>
      </c>
      <c r="W84">
        <f ca="1">+$J83+$J83*$F$5*$G$10+$J83*$G$5*T$23</f>
        <v>259.10592542227909</v>
      </c>
      <c r="X84">
        <f ca="1">+$J83+$J83*$F$5*$G$10+$J83*$G$5*U$23</f>
        <v>254.34026507756448</v>
      </c>
    </row>
    <row r="85" spans="1:24">
      <c r="A85" s="2">
        <v>46050</v>
      </c>
      <c r="B85">
        <v>255.743896484375</v>
      </c>
      <c r="C85">
        <f t="shared" si="51"/>
        <v>-3.0881086772220211E-3</v>
      </c>
      <c r="J85">
        <v>269.27706909179688</v>
      </c>
      <c r="K85">
        <f t="shared" ca="1" si="52"/>
        <v>258.67771019143186</v>
      </c>
      <c r="L85">
        <f t="shared" ca="1" si="53"/>
        <v>10.599358900365019</v>
      </c>
      <c r="M85">
        <f t="shared" ca="1" si="54"/>
        <v>112.34640909874713</v>
      </c>
      <c r="N85">
        <f t="shared" ca="1" si="55"/>
        <v>3.9362278177321089E-2</v>
      </c>
      <c r="O85">
        <f ca="1">+$J84+$J84*$F$5*$G$10+$J84*$G$5*L$23</f>
        <v>259.85619442090643</v>
      </c>
      <c r="P85">
        <f ca="1">+$J84+$J84*$F$5*$G$10+$J84*$G$5*M$23</f>
        <v>258.51185314301972</v>
      </c>
      <c r="Q85">
        <f ca="1">+$J84+$J84*$F$5*$G$10+$J84*$G$5*N$23</f>
        <v>258.75232914271066</v>
      </c>
      <c r="R85">
        <f ca="1">+$J84+$J84*$F$5*$G$10+$J84*$G$5*O$23</f>
        <v>258.39442768140202</v>
      </c>
      <c r="S85">
        <f ca="1">+$J84+$J84*$F$5*$G$10+$J84*$G$5*P$23</f>
        <v>257.04625226778717</v>
      </c>
      <c r="T85">
        <f ca="1">+$J84+$J84*$F$5*$G$10+$J84*$G$5*Q$23</f>
        <v>257.10256560826701</v>
      </c>
      <c r="U85">
        <f ca="1">+$J84+$J84*$F$5*$G$10+$J84*$G$5*R$23</f>
        <v>259.57538743180231</v>
      </c>
      <c r="V85">
        <f ca="1">+$J84+$J84*$F$5*$G$10+$J84*$G$5*S$23</f>
        <v>261.70636032655665</v>
      </c>
      <c r="W85">
        <f ca="1">+$J84+$J84*$F$5*$G$10+$J84*$G$5*T$23</f>
        <v>260.30976707394552</v>
      </c>
      <c r="X85">
        <f ca="1">+$J84+$J84*$F$5*$G$10+$J84*$G$5*U$23</f>
        <v>255.52196481792066</v>
      </c>
    </row>
    <row r="86" spans="1:24">
      <c r="A86" s="2">
        <v>46051</v>
      </c>
      <c r="B86">
        <v>257.57888793945313</v>
      </c>
      <c r="C86">
        <f t="shared" si="51"/>
        <v>3.1049861103104952E-3</v>
      </c>
      <c r="J86">
        <v>268.74850463867188</v>
      </c>
      <c r="K86">
        <f t="shared" ca="1" si="52"/>
        <v>269.175170617643</v>
      </c>
      <c r="L86">
        <f t="shared" ca="1" si="53"/>
        <v>-0.42666597897112979</v>
      </c>
      <c r="M86">
        <f t="shared" ca="1" si="54"/>
        <v>0.18204385761139258</v>
      </c>
      <c r="N86">
        <f t="shared" ca="1" si="55"/>
        <v>1.5876031739963557E-3</v>
      </c>
      <c r="O86">
        <f ca="1">+$J85+$J85*$F$5*$G$10+$J85*$G$5*L$23</f>
        <v>270.40147919020728</v>
      </c>
      <c r="P86">
        <f ca="1">+$J85+$J85*$F$5*$G$10+$J85*$G$5*M$23</f>
        <v>269.00258288570654</v>
      </c>
      <c r="Q86">
        <f ca="1">+$J85+$J85*$F$5*$G$10+$J85*$G$5*N$23</f>
        <v>269.25281769796914</v>
      </c>
      <c r="R86">
        <f ca="1">+$J85+$J85*$F$5*$G$10+$J85*$G$5*O$23</f>
        <v>268.88039215407218</v>
      </c>
      <c r="S86">
        <f ca="1">+$J85+$J85*$F$5*$G$10+$J85*$G$5*P$23</f>
        <v>267.47750611988801</v>
      </c>
      <c r="T86">
        <f ca="1">+$J85+$J85*$F$5*$G$10+$J85*$G$5*Q$23</f>
        <v>267.53610472515828</v>
      </c>
      <c r="U86">
        <f ca="1">+$J85+$J85*$F$5*$G$10+$J85*$G$5*R$23</f>
        <v>270.10927670725351</v>
      </c>
      <c r="V86">
        <f ca="1">+$J85+$J85*$F$5*$G$10+$J85*$G$5*S$23</f>
        <v>272.32672710954205</v>
      </c>
      <c r="W86">
        <f ca="1">+$J85+$J85*$F$5*$G$10+$J85*$G$5*T$23</f>
        <v>270.87345838075652</v>
      </c>
      <c r="X86">
        <f ca="1">+$J85+$J85*$F$5*$G$10+$J85*$G$5*U$23</f>
        <v>265.89136120587705</v>
      </c>
    </row>
    <row r="87" spans="1:24">
      <c r="A87" s="2">
        <v>46052</v>
      </c>
      <c r="B87">
        <v>258.775634765625</v>
      </c>
      <c r="C87">
        <f t="shared" si="51"/>
        <v>2.0131187028059674E-3</v>
      </c>
      <c r="J87">
        <v>275.73941040039063</v>
      </c>
      <c r="K87">
        <f t="shared" ca="1" si="52"/>
        <v>268.64680618122003</v>
      </c>
      <c r="L87">
        <f t="shared" ca="1" si="53"/>
        <v>7.092604219170596</v>
      </c>
      <c r="M87">
        <f t="shared" ca="1" si="54"/>
        <v>50.305034609796543</v>
      </c>
      <c r="N87">
        <f t="shared" ca="1" si="55"/>
        <v>2.5722127311695115E-2</v>
      </c>
      <c r="O87">
        <f ca="1">+$J86+$J86*$F$5*$G$10+$J86*$G$5*L$23</f>
        <v>269.87070763043647</v>
      </c>
      <c r="P87">
        <f ca="1">+$J86+$J86*$F$5*$G$10+$J86*$G$5*M$23</f>
        <v>268.47455722205927</v>
      </c>
      <c r="Q87">
        <f ca="1">+$J86+$J86*$F$5*$G$10+$J86*$G$5*N$23</f>
        <v>268.72430084794962</v>
      </c>
      <c r="R87">
        <f ca="1">+$J86+$J86*$F$5*$G$10+$J86*$G$5*O$23</f>
        <v>268.35260633883627</v>
      </c>
      <c r="S87">
        <f ca="1">+$J86+$J86*$F$5*$G$10+$J86*$G$5*P$23</f>
        <v>266.95247403222334</v>
      </c>
      <c r="T87">
        <f ca="1">+$J86+$J86*$F$5*$G$10+$J86*$G$5*Q$23</f>
        <v>267.01095761418372</v>
      </c>
      <c r="U87">
        <f ca="1">+$J86+$J86*$F$5*$G$10+$J86*$G$5*R$23</f>
        <v>269.5790787122728</v>
      </c>
      <c r="V87">
        <f ca="1">+$J86+$J86*$F$5*$G$10+$J86*$G$5*S$23</f>
        <v>271.79217647709703</v>
      </c>
      <c r="W87">
        <f ca="1">+$J86+$J86*$F$5*$G$10+$J86*$G$5*T$23</f>
        <v>270.34176037216639</v>
      </c>
      <c r="X87">
        <f ca="1">+$J86+$J86*$F$5*$G$10+$J86*$G$5*U$23</f>
        <v>265.36944256497515</v>
      </c>
    </row>
    <row r="88" spans="1:24">
      <c r="A88" s="2">
        <v>46055</v>
      </c>
      <c r="B88">
        <v>269.27706909179688</v>
      </c>
      <c r="C88">
        <f t="shared" si="51"/>
        <v>1.7275989075844347E-2</v>
      </c>
      <c r="J88">
        <v>275.16104125976563</v>
      </c>
      <c r="K88">
        <f t="shared" ca="1" si="52"/>
        <v>275.63506647954119</v>
      </c>
      <c r="L88">
        <f t="shared" ca="1" si="53"/>
        <v>-0.47402521977556944</v>
      </c>
      <c r="M88">
        <f t="shared" ca="1" si="54"/>
        <v>0.22469990898327691</v>
      </c>
      <c r="N88">
        <f t="shared" ca="1" si="55"/>
        <v>1.7227192396327147E-3</v>
      </c>
      <c r="O88">
        <f ca="1">+$J87+$J87*$F$5*$G$10+$J87*$G$5*L$23</f>
        <v>276.89080505359902</v>
      </c>
      <c r="P88">
        <f ca="1">+$J87+$J87*$F$5*$G$10+$J87*$G$5*M$23</f>
        <v>275.45833683966873</v>
      </c>
      <c r="Q88">
        <f ca="1">+$J87+$J87*$F$5*$G$10+$J87*$G$5*N$23</f>
        <v>275.71457700088132</v>
      </c>
      <c r="R88">
        <f ca="1">+$J87+$J87*$F$5*$G$10+$J87*$G$5*O$23</f>
        <v>275.33321367039588</v>
      </c>
      <c r="S88">
        <f ca="1">+$J87+$J87*$F$5*$G$10+$J87*$G$5*P$23</f>
        <v>273.8966599778384</v>
      </c>
      <c r="T88">
        <f ca="1">+$J87+$J87*$F$5*$G$10+$J87*$G$5*Q$23</f>
        <v>273.9566648825338</v>
      </c>
      <c r="U88">
        <f ca="1">+$J87+$J87*$F$5*$G$10+$J87*$G$5*R$23</f>
        <v>276.59159004565589</v>
      </c>
      <c r="V88">
        <f ca="1">+$J87+$J87*$F$5*$G$10+$J87*$G$5*S$23</f>
        <v>278.86225671839333</v>
      </c>
      <c r="W88">
        <f ca="1">+$J87+$J87*$F$5*$G$10+$J87*$G$5*T$23</f>
        <v>277.3741112042573</v>
      </c>
      <c r="X88">
        <f ca="1">+$J87+$J87*$F$5*$G$10+$J87*$G$5*U$23</f>
        <v>272.27244940218827</v>
      </c>
    </row>
    <row r="89" spans="1:24">
      <c r="A89" s="2">
        <v>46056</v>
      </c>
      <c r="B89">
        <v>268.74850463867188</v>
      </c>
      <c r="C89">
        <f t="shared" si="51"/>
        <v>-8.5331519682571035E-4</v>
      </c>
      <c r="J89">
        <v>277.364990234375</v>
      </c>
      <c r="K89">
        <f t="shared" ca="1" si="52"/>
        <v>275.0569162024575</v>
      </c>
      <c r="L89">
        <f t="shared" ca="1" si="53"/>
        <v>2.3080740319174993</v>
      </c>
      <c r="M89">
        <f t="shared" ca="1" si="54"/>
        <v>5.3272057368119015</v>
      </c>
      <c r="N89">
        <f t="shared" ca="1" si="55"/>
        <v>8.3214324560830968E-3</v>
      </c>
      <c r="O89">
        <f ca="1">+$J88+$J88*$F$5*$G$10+$J88*$G$5*L$23</f>
        <v>276.31002083877365</v>
      </c>
      <c r="P89">
        <f ca="1">+$J88+$J88*$F$5*$G$10+$J88*$G$5*M$23</f>
        <v>274.8805572566755</v>
      </c>
      <c r="Q89">
        <f ca="1">+$J88+$J88*$F$5*$G$10+$J88*$G$5*N$23</f>
        <v>275.13625994882761</v>
      </c>
      <c r="R89">
        <f ca="1">+$J88+$J88*$F$5*$G$10+$J88*$G$5*O$23</f>
        <v>274.7556965358491</v>
      </c>
      <c r="S89">
        <f ca="1">+$J88+$J88*$F$5*$G$10+$J88*$G$5*P$23</f>
        <v>273.32215604450005</v>
      </c>
      <c r="T89">
        <f ca="1">+$J88+$J88*$F$5*$G$10+$J88*$G$5*Q$23</f>
        <v>273.38203508766145</v>
      </c>
      <c r="U89">
        <f ca="1">+$J88+$J88*$F$5*$G$10+$J88*$G$5*R$23</f>
        <v>276.01143344052457</v>
      </c>
      <c r="V89">
        <f ca="1">+$J88+$J88*$F$5*$G$10+$J88*$G$5*S$23</f>
        <v>278.27733734275256</v>
      </c>
      <c r="W89">
        <f ca="1">+$J88+$J88*$F$5*$G$10+$J88*$G$5*T$23</f>
        <v>276.79231324474227</v>
      </c>
      <c r="X89">
        <f ca="1">+$J88+$J88*$F$5*$G$10+$J88*$G$5*U$23</f>
        <v>271.70135228426841</v>
      </c>
    </row>
    <row r="90" spans="1:24">
      <c r="A90" s="2">
        <v>46057</v>
      </c>
      <c r="B90">
        <v>275.73941040039063</v>
      </c>
      <c r="C90">
        <f t="shared" si="51"/>
        <v>1.1152786180783128E-2</v>
      </c>
      <c r="J90">
        <v>274.13079833984381</v>
      </c>
      <c r="K90">
        <f t="shared" ca="1" si="52"/>
        <v>277.26003116978069</v>
      </c>
      <c r="L90">
        <f t="shared" ca="1" si="53"/>
        <v>-3.1292328299368819</v>
      </c>
      <c r="M90">
        <f t="shared" ca="1" si="54"/>
        <v>9.7920981039547872</v>
      </c>
      <c r="N90">
        <f t="shared" ca="1" si="55"/>
        <v>1.1415108586440287E-2</v>
      </c>
      <c r="O90">
        <f ca="1">+$J89+$J89*$F$5*$G$10+$J89*$G$5*L$23</f>
        <v>278.52317275996808</v>
      </c>
      <c r="P90">
        <f ca="1">+$J89+$J89*$F$5*$G$10+$J89*$G$5*M$23</f>
        <v>277.08225964714569</v>
      </c>
      <c r="Q90">
        <f ca="1">+$J89+$J89*$F$5*$G$10+$J89*$G$5*N$23</f>
        <v>277.34001043332887</v>
      </c>
      <c r="R90">
        <f ca="1">+$J89+$J89*$F$5*$G$10+$J89*$G$5*O$23</f>
        <v>276.95639883322337</v>
      </c>
      <c r="S90">
        <f ca="1">+$J89+$J89*$F$5*$G$10+$J89*$G$5*P$23</f>
        <v>275.51137615645479</v>
      </c>
      <c r="T90">
        <f ca="1">+$J89+$J89*$F$5*$G$10+$J89*$G$5*Q$23</f>
        <v>275.57173481095646</v>
      </c>
      <c r="U90">
        <f ca="1">+$J89+$J89*$F$5*$G$10+$J89*$G$5*R$23</f>
        <v>278.22219377536948</v>
      </c>
      <c r="V90">
        <f ca="1">+$J89+$J89*$F$5*$G$10+$J89*$G$5*S$23</f>
        <v>280.50624681876587</v>
      </c>
      <c r="W90">
        <f ca="1">+$J89+$J89*$F$5*$G$10+$J89*$G$5*T$23</f>
        <v>279.0093281686668</v>
      </c>
      <c r="X90">
        <f ca="1">+$J89+$J89*$F$5*$G$10+$J89*$G$5*U$23</f>
        <v>273.87759029392754</v>
      </c>
    </row>
    <row r="91" spans="1:24">
      <c r="A91" s="2">
        <v>46058</v>
      </c>
      <c r="B91">
        <v>275.16104125976563</v>
      </c>
      <c r="C91">
        <f t="shared" si="51"/>
        <v>-9.1189839400167066E-4</v>
      </c>
      <c r="J91">
        <v>273.19244384765619</v>
      </c>
      <c r="K91">
        <f t="shared" ca="1" si="52"/>
        <v>274.02706314187986</v>
      </c>
      <c r="L91">
        <f t="shared" ca="1" si="53"/>
        <v>-0.8346192942236712</v>
      </c>
      <c r="M91">
        <f t="shared" ca="1" si="54"/>
        <v>0.69658936629041901</v>
      </c>
      <c r="N91">
        <f t="shared" ca="1" si="55"/>
        <v>3.0550599513985486E-3</v>
      </c>
      <c r="O91">
        <f ca="1">+$J90+$J90*$F$5*$G$10+$J90*$G$5*L$23</f>
        <v>275.275475972359</v>
      </c>
      <c r="P91">
        <f ca="1">+$J90+$J90*$F$5*$G$10+$J90*$G$5*M$23</f>
        <v>273.85136450961613</v>
      </c>
      <c r="Q91">
        <f ca="1">+$J90+$J90*$F$5*$G$10+$J90*$G$5*N$23</f>
        <v>274.10610981373475</v>
      </c>
      <c r="R91">
        <f ca="1">+$J90+$J90*$F$5*$G$10+$J90*$G$5*O$23</f>
        <v>273.72697128547105</v>
      </c>
      <c r="S91">
        <f ca="1">+$J90+$J90*$F$5*$G$10+$J90*$G$5*P$23</f>
        <v>272.29879817801788</v>
      </c>
      <c r="T91">
        <f ca="1">+$J90+$J90*$F$5*$G$10+$J90*$G$5*Q$23</f>
        <v>272.35845302534113</v>
      </c>
      <c r="U91">
        <f ca="1">+$J90+$J90*$F$5*$G$10+$J90*$G$5*R$23</f>
        <v>274.97800652871433</v>
      </c>
      <c r="V91">
        <f ca="1">+$J90+$J90*$F$5*$G$10+$J90*$G$5*S$23</f>
        <v>277.23542655749202</v>
      </c>
      <c r="W91">
        <f ca="1">+$J90+$J90*$F$5*$G$10+$J90*$G$5*T$23</f>
        <v>275.75596260548167</v>
      </c>
      <c r="X91">
        <f ca="1">+$J90+$J90*$F$5*$G$10+$J90*$G$5*U$23</f>
        <v>270.68406294257051</v>
      </c>
    </row>
    <row r="92" spans="1:24">
      <c r="A92" s="2">
        <v>46059</v>
      </c>
      <c r="B92">
        <v>277.364990234375</v>
      </c>
      <c r="C92">
        <f t="shared" si="51"/>
        <v>3.4646981319717139E-3</v>
      </c>
      <c r="J92">
        <v>275.00921630859381</v>
      </c>
      <c r="K92">
        <f t="shared" ca="1" si="52"/>
        <v>273.08906373707964</v>
      </c>
      <c r="L92">
        <f t="shared" ca="1" si="53"/>
        <v>1.9201525715141656</v>
      </c>
      <c r="M92">
        <f t="shared" ca="1" si="54"/>
        <v>3.686985897892463</v>
      </c>
      <c r="N92">
        <f t="shared" ca="1" si="55"/>
        <v>6.9821389889694486E-3</v>
      </c>
      <c r="O92">
        <f ca="1">+$J91+$J91*$F$5*$G$10+$J91*$G$5*L$23</f>
        <v>274.33320322871958</v>
      </c>
      <c r="P92">
        <f ca="1">+$J91+$J91*$F$5*$G$10+$J91*$G$5*M$23</f>
        <v>272.91396652429108</v>
      </c>
      <c r="Q92">
        <f ca="1">+$J91+$J91*$F$5*$G$10+$J91*$G$5*N$23</f>
        <v>273.16783983080148</v>
      </c>
      <c r="R92">
        <f ca="1">+$J91+$J91*$F$5*$G$10+$J91*$G$5*O$23</f>
        <v>272.78999910031649</v>
      </c>
      <c r="S92">
        <f ca="1">+$J91+$J91*$F$5*$G$10+$J91*$G$5*P$23</f>
        <v>271.3667146542582</v>
      </c>
      <c r="T92">
        <f ca="1">+$J91+$J91*$F$5*$G$10+$J91*$G$5*Q$23</f>
        <v>271.42616530200121</v>
      </c>
      <c r="U92">
        <f ca="1">+$J91+$J91*$F$5*$G$10+$J91*$G$5*R$23</f>
        <v>274.036752028156</v>
      </c>
      <c r="V92">
        <f ca="1">+$J91+$J91*$F$5*$G$10+$J91*$G$5*S$23</f>
        <v>276.28644486889942</v>
      </c>
      <c r="W92">
        <f ca="1">+$J91+$J91*$F$5*$G$10+$J91*$G$5*T$23</f>
        <v>274.81204514773731</v>
      </c>
      <c r="X92">
        <f ca="1">+$J91+$J91*$F$5*$G$10+$J91*$G$5*U$23</f>
        <v>269.75750668561579</v>
      </c>
    </row>
    <row r="93" spans="1:24">
      <c r="A93" s="2">
        <v>46062</v>
      </c>
      <c r="B93">
        <v>274.13079833984381</v>
      </c>
      <c r="C93">
        <f t="shared" si="51"/>
        <v>-5.0938115013836752E-3</v>
      </c>
      <c r="J93">
        <v>261.26376342773438</v>
      </c>
      <c r="K93">
        <f t="shared" ca="1" si="52"/>
        <v>274.90514870412011</v>
      </c>
      <c r="L93">
        <f t="shared" ca="1" si="53"/>
        <v>-13.641385276385734</v>
      </c>
      <c r="M93">
        <f t="shared" ca="1" si="54"/>
        <v>186.08739225879347</v>
      </c>
      <c r="N93">
        <f t="shared" ca="1" si="55"/>
        <v>5.2213078068742376E-2</v>
      </c>
      <c r="O93">
        <f ca="1">+$J92+$J92*$F$5*$G$10+$J92*$G$5*L$23</f>
        <v>276.15756191788108</v>
      </c>
      <c r="P93">
        <f ca="1">+$J92+$J92*$F$5*$G$10+$J92*$G$5*M$23</f>
        <v>274.72888706749279</v>
      </c>
      <c r="Q93">
        <f ca="1">+$J92+$J92*$F$5*$G$10+$J92*$G$5*N$23</f>
        <v>274.98444867118059</v>
      </c>
      <c r="R93">
        <f ca="1">+$J92+$J92*$F$5*$G$10+$J92*$G$5*O$23</f>
        <v>274.6040952407684</v>
      </c>
      <c r="S93">
        <f ca="1">+$J92+$J92*$F$5*$G$10+$J92*$G$5*P$23</f>
        <v>273.17134573063566</v>
      </c>
      <c r="T93">
        <f ca="1">+$J92+$J92*$F$5*$G$10+$J92*$G$5*Q$23</f>
        <v>273.23119173448032</v>
      </c>
      <c r="U93">
        <f ca="1">+$J92+$J92*$F$5*$G$10+$J92*$G$5*R$23</f>
        <v>275.8591392704883</v>
      </c>
      <c r="V93">
        <f ca="1">+$J92+$J92*$F$5*$G$10+$J92*$G$5*S$23</f>
        <v>278.12379292032682</v>
      </c>
      <c r="W93">
        <f ca="1">+$J92+$J92*$F$5*$G$10+$J92*$G$5*T$23</f>
        <v>276.63958821051972</v>
      </c>
      <c r="X93">
        <f ca="1">+$J92+$J92*$F$5*$G$10+$J92*$G$5*U$23</f>
        <v>271.5514362774274</v>
      </c>
    </row>
    <row r="94" spans="1:24">
      <c r="A94" s="2">
        <v>46063</v>
      </c>
      <c r="B94">
        <v>273.19244384765619</v>
      </c>
      <c r="C94">
        <f t="shared" si="51"/>
        <v>-1.4891477134309499E-3</v>
      </c>
      <c r="J94">
        <v>255.32435607910159</v>
      </c>
      <c r="K94">
        <f t="shared" ca="1" si="52"/>
        <v>261.16489730840692</v>
      </c>
      <c r="L94">
        <f t="shared" ca="1" si="53"/>
        <v>-5.8405412293053303</v>
      </c>
      <c r="M94">
        <f t="shared" ca="1" si="54"/>
        <v>34.111921851215421</v>
      </c>
      <c r="N94">
        <f t="shared" ca="1" si="55"/>
        <v>2.2874986620923396E-2</v>
      </c>
      <c r="O94">
        <f ca="1">+$J93+$J93*$F$5*$G$10+$J93*$G$5*L$23</f>
        <v>262.35471266800073</v>
      </c>
      <c r="P94">
        <f ca="1">+$J93+$J93*$F$5*$G$10+$J93*$G$5*M$23</f>
        <v>260.99744554387581</v>
      </c>
      <c r="Q94">
        <f ca="1">+$J93+$J93*$F$5*$G$10+$J93*$G$5*N$23</f>
        <v>261.24023372117159</v>
      </c>
      <c r="R94">
        <f ca="1">+$J93+$J93*$F$5*$G$10+$J93*$G$5*O$23</f>
        <v>260.87889103602089</v>
      </c>
      <c r="S94">
        <f ca="1">+$J93+$J93*$F$5*$G$10+$J93*$G$5*P$23</f>
        <v>259.51775291093901</v>
      </c>
      <c r="T94">
        <f ca="1">+$J93+$J93*$F$5*$G$10+$J93*$G$5*Q$23</f>
        <v>259.57460770439081</v>
      </c>
      <c r="U94">
        <f ca="1">+$J93+$J93*$F$5*$G$10+$J93*$G$5*R$23</f>
        <v>262.07120571868302</v>
      </c>
      <c r="V94">
        <f ca="1">+$J93+$J93*$F$5*$G$10+$J93*$G$5*S$23</f>
        <v>264.22266792551039</v>
      </c>
      <c r="W94">
        <f ca="1">+$J93+$J93*$F$5*$G$10+$J93*$G$5*T$23</f>
        <v>262.81264642373554</v>
      </c>
      <c r="X94">
        <f ca="1">+$J93+$J93*$F$5*$G$10+$J93*$G$5*U$23</f>
        <v>257.97880943174141</v>
      </c>
    </row>
    <row r="95" spans="1:24">
      <c r="A95" s="2">
        <v>46064</v>
      </c>
      <c r="B95">
        <v>275.00921630859381</v>
      </c>
      <c r="C95">
        <f t="shared" si="51"/>
        <v>2.8785653185739442E-3</v>
      </c>
      <c r="J95">
        <v>263.40994262695313</v>
      </c>
      <c r="K95">
        <f t="shared" ca="1" si="52"/>
        <v>255.22773752043071</v>
      </c>
      <c r="L95">
        <f t="shared" ca="1" si="53"/>
        <v>8.1822051065224173</v>
      </c>
      <c r="M95">
        <f t="shared" ca="1" si="54"/>
        <v>66.948480405201522</v>
      </c>
      <c r="N95">
        <f t="shared" ca="1" si="55"/>
        <v>3.1062628179188489E-2</v>
      </c>
      <c r="O95">
        <f ca="1">+$J94+$J94*$F$5*$G$10+$J94*$G$5*L$23</f>
        <v>256.39050436017783</v>
      </c>
      <c r="P95">
        <f ca="1">+$J94+$J94*$F$5*$G$10+$J94*$G$5*M$23</f>
        <v>255.06409249981138</v>
      </c>
      <c r="Q95">
        <f ca="1">+$J94+$J94*$F$5*$G$10+$J94*$G$5*N$23</f>
        <v>255.30136128220343</v>
      </c>
      <c r="R95">
        <f ca="1">+$J94+$J94*$F$5*$G$10+$J94*$G$5*O$23</f>
        <v>254.94823313615069</v>
      </c>
      <c r="S95">
        <f ca="1">+$J94+$J94*$F$5*$G$10+$J94*$G$5*P$23</f>
        <v>253.61803827574718</v>
      </c>
      <c r="T95">
        <f ca="1">+$J94+$J94*$F$5*$G$10+$J94*$G$5*Q$23</f>
        <v>253.67360056780652</v>
      </c>
      <c r="U95">
        <f ca="1">+$J94+$J94*$F$5*$G$10+$J94*$G$5*R$23</f>
        <v>256.1134424809153</v>
      </c>
      <c r="V95">
        <f ca="1">+$J94+$J94*$F$5*$G$10+$J94*$G$5*S$23</f>
        <v>258.21599468861427</v>
      </c>
      <c r="W95">
        <f ca="1">+$J94+$J94*$F$5*$G$10+$J94*$G$5*T$23</f>
        <v>256.83802773569647</v>
      </c>
      <c r="X95">
        <f ca="1">+$J94+$J94*$F$5*$G$10+$J94*$G$5*U$23</f>
        <v>252.11408017718389</v>
      </c>
    </row>
    <row r="96" spans="1:24">
      <c r="A96" s="2">
        <v>46065</v>
      </c>
      <c r="B96">
        <v>261.26376342773438</v>
      </c>
      <c r="C96">
        <f t="shared" si="51"/>
        <v>-2.2268070023618535E-2</v>
      </c>
      <c r="J96">
        <v>263.87911987304688</v>
      </c>
      <c r="K96">
        <f t="shared" ca="1" si="52"/>
        <v>263.31026436128735</v>
      </c>
      <c r="L96">
        <f t="shared" ca="1" si="53"/>
        <v>0.56885551175952287</v>
      </c>
      <c r="M96">
        <f t="shared" ca="1" si="54"/>
        <v>0.32359659325918866</v>
      </c>
      <c r="N96">
        <f t="shared" ca="1" si="55"/>
        <v>2.1557427962970361E-3</v>
      </c>
      <c r="O96">
        <f ca="1">+$J95+$J95*$F$5*$G$10+$J95*$G$5*L$23</f>
        <v>264.5098535867329</v>
      </c>
      <c r="P96">
        <f ca="1">+$J95+$J95*$F$5*$G$10+$J95*$G$5*M$23</f>
        <v>263.14143704628111</v>
      </c>
      <c r="Q96">
        <f ca="1">+$J95+$J95*$F$5*$G$10+$J95*$G$5*N$23</f>
        <v>263.38621963309276</v>
      </c>
      <c r="R96">
        <f ca="1">+$J95+$J95*$F$5*$G$10+$J95*$G$5*O$23</f>
        <v>263.0219086597092</v>
      </c>
      <c r="S96">
        <f ca="1">+$J95+$J95*$F$5*$G$10+$J95*$G$5*P$23</f>
        <v>261.649589319548</v>
      </c>
      <c r="T96">
        <f ca="1">+$J95+$J95*$F$5*$G$10+$J95*$G$5*Q$23</f>
        <v>261.70691115279698</v>
      </c>
      <c r="U96">
        <f ca="1">+$J95+$J95*$F$5*$G$10+$J95*$G$5*R$23</f>
        <v>264.2240177391804</v>
      </c>
      <c r="V96">
        <f ca="1">+$J95+$J95*$F$5*$G$10+$J95*$G$5*S$23</f>
        <v>266.39315336300075</v>
      </c>
      <c r="W96">
        <f ca="1">+$J95+$J95*$F$5*$G$10+$J95*$G$5*T$23</f>
        <v>264.97154908840707</v>
      </c>
      <c r="X96">
        <f ca="1">+$J95+$J95*$F$5*$G$10+$J95*$G$5*U$23</f>
        <v>260.09800402412412</v>
      </c>
    </row>
    <row r="97" spans="1:24">
      <c r="A97" s="2">
        <v>46066</v>
      </c>
      <c r="B97">
        <v>255.32435607910159</v>
      </c>
      <c r="C97">
        <f t="shared" si="51"/>
        <v>-9.9869331400625969E-3</v>
      </c>
      <c r="J97">
        <v>260.11578369140619</v>
      </c>
      <c r="K97">
        <f t="shared" ca="1" si="52"/>
        <v>263.77926406368738</v>
      </c>
      <c r="L97">
        <f t="shared" ca="1" si="53"/>
        <v>-3.6634803722811853</v>
      </c>
      <c r="M97">
        <f t="shared" ca="1" si="54"/>
        <v>13.421088438089491</v>
      </c>
      <c r="N97">
        <f t="shared" ca="1" si="55"/>
        <v>1.4084037194095964E-2</v>
      </c>
      <c r="O97">
        <f ca="1">+$J96+$J96*$F$5*$G$10+$J96*$G$5*L$23</f>
        <v>264.98098995855253</v>
      </c>
      <c r="P97">
        <f ca="1">+$J96+$J96*$F$5*$G$10+$J96*$G$5*M$23</f>
        <v>263.61013603894361</v>
      </c>
      <c r="Q97">
        <f ca="1">+$J96+$J96*$F$5*$G$10+$J96*$G$5*N$23</f>
        <v>263.85535462455931</v>
      </c>
      <c r="R97">
        <f ca="1">+$J96+$J96*$F$5*$G$10+$J96*$G$5*O$23</f>
        <v>263.49039475228636</v>
      </c>
      <c r="S97">
        <f ca="1">+$J96+$J96*$F$5*$G$10+$J96*$G$5*P$23</f>
        <v>262.11563108142769</v>
      </c>
      <c r="T97">
        <f ca="1">+$J96+$J96*$F$5*$G$10+$J96*$G$5*Q$23</f>
        <v>262.17305501446685</v>
      </c>
      <c r="U97">
        <f ca="1">+$J96+$J96*$F$5*$G$10+$J96*$G$5*R$23</f>
        <v>264.69464498945945</v>
      </c>
      <c r="V97">
        <f ca="1">+$J96+$J96*$F$5*$G$10+$J96*$G$5*S$23</f>
        <v>266.86764420729696</v>
      </c>
      <c r="W97">
        <f ca="1">+$J96+$J96*$F$5*$G$10+$J96*$G$5*T$23</f>
        <v>265.44350781727917</v>
      </c>
      <c r="X97">
        <f ca="1">+$J96+$J96*$F$5*$G$10+$J96*$G$5*U$23</f>
        <v>260.56128215260139</v>
      </c>
    </row>
    <row r="98" spans="1:24">
      <c r="A98" s="2">
        <v>46070</v>
      </c>
      <c r="B98">
        <v>263.40994262695313</v>
      </c>
      <c r="C98">
        <f t="shared" si="51"/>
        <v>1.3539918438332446E-2</v>
      </c>
      <c r="J98">
        <v>264.10867309570313</v>
      </c>
      <c r="K98">
        <f t="shared" ca="1" si="52"/>
        <v>260.01735198479679</v>
      </c>
      <c r="L98">
        <f t="shared" ca="1" si="53"/>
        <v>4.0913211109063354</v>
      </c>
      <c r="M98">
        <f t="shared" ca="1" si="54"/>
        <v>16.738908432547852</v>
      </c>
      <c r="N98">
        <f t="shared" ca="1" si="55"/>
        <v>1.5491051705915745E-2</v>
      </c>
      <c r="O98">
        <f ca="1">+$J97+$J97*$F$5*$G$10+$J97*$G$5*L$23</f>
        <v>261.20193935599735</v>
      </c>
      <c r="P98">
        <f ca="1">+$J97+$J97*$F$5*$G$10+$J97*$G$5*M$23</f>
        <v>259.85063599483306</v>
      </c>
      <c r="Q98">
        <f ca="1">+$J97+$J97*$F$5*$G$10+$J97*$G$5*N$23</f>
        <v>260.09235737318164</v>
      </c>
      <c r="R98">
        <f ca="1">+$J97+$J97*$F$5*$G$10+$J97*$G$5*O$23</f>
        <v>259.73260240947758</v>
      </c>
      <c r="S98">
        <f ca="1">+$J97+$J97*$F$5*$G$10+$J97*$G$5*P$23</f>
        <v>258.37744505633833</v>
      </c>
      <c r="T98">
        <f ca="1">+$J97+$J97*$F$5*$G$10+$J97*$G$5*Q$23</f>
        <v>258.43405003270897</v>
      </c>
      <c r="U98">
        <f ca="1">+$J97+$J97*$F$5*$G$10+$J97*$G$5*R$23</f>
        <v>260.91967812184748</v>
      </c>
      <c r="V98">
        <f ca="1">+$J97+$J97*$F$5*$G$10+$J97*$G$5*S$23</f>
        <v>263.06168691276866</v>
      </c>
      <c r="W98">
        <f ca="1">+$J97+$J97*$F$5*$G$10+$J97*$G$5*T$23</f>
        <v>261.65786097401633</v>
      </c>
      <c r="X98">
        <f ca="1">+$J97+$J97*$F$5*$G$10+$J97*$G$5*U$23</f>
        <v>256.8452636167986</v>
      </c>
    </row>
    <row r="99" spans="1:24">
      <c r="A99" s="2">
        <v>46071</v>
      </c>
      <c r="B99">
        <v>263.87911987304688</v>
      </c>
      <c r="C99">
        <f t="shared" si="51"/>
        <v>7.7286314956551486E-4</v>
      </c>
      <c r="J99">
        <v>265.705810546875</v>
      </c>
      <c r="K99">
        <f t="shared" ca="1" si="52"/>
        <v>264.00873041996766</v>
      </c>
      <c r="L99">
        <f t="shared" ca="1" si="53"/>
        <v>1.6970801269073377</v>
      </c>
      <c r="M99">
        <f t="shared" ca="1" si="54"/>
        <v>2.8800809571438255</v>
      </c>
      <c r="N99">
        <f t="shared" ca="1" si="55"/>
        <v>6.3870644131357604E-3</v>
      </c>
      <c r="O99">
        <f ca="1">+$J98+$J98*$F$5*$G$10+$J98*$G$5*L$23</f>
        <v>265.21150171794034</v>
      </c>
      <c r="P99">
        <f ca="1">+$J98+$J98*$F$5*$G$10+$J98*$G$5*M$23</f>
        <v>263.83945526769389</v>
      </c>
      <c r="Q99">
        <f ca="1">+$J98+$J98*$F$5*$G$10+$J98*$G$5*N$23</f>
        <v>264.08488717339577</v>
      </c>
      <c r="R99">
        <f ca="1">+$J98+$J98*$F$5*$G$10+$J98*$G$5*O$23</f>
        <v>263.71960981592406</v>
      </c>
      <c r="S99">
        <f ca="1">+$J98+$J98*$F$5*$G$10+$J98*$G$5*P$23</f>
        <v>262.34365021326454</v>
      </c>
      <c r="T99">
        <f ca="1">+$J98+$J98*$F$5*$G$10+$J98*$G$5*Q$23</f>
        <v>262.40112410042241</v>
      </c>
      <c r="U99">
        <f ca="1">+$J98+$J98*$F$5*$G$10+$J98*$G$5*R$23</f>
        <v>264.9249076521757</v>
      </c>
      <c r="V99">
        <f ca="1">+$J98+$J98*$F$5*$G$10+$J98*$G$5*S$23</f>
        <v>267.09979720136465</v>
      </c>
      <c r="W99">
        <f ca="1">+$J98+$J98*$F$5*$G$10+$J98*$G$5*T$23</f>
        <v>265.67442192932396</v>
      </c>
      <c r="X99">
        <f ca="1">+$J98+$J98*$F$5*$G$10+$J98*$G$5*U$23</f>
        <v>260.78794912817096</v>
      </c>
    </row>
    <row r="100" spans="1:24">
      <c r="A100" s="2">
        <v>46072</v>
      </c>
      <c r="B100">
        <v>260.11578369140619</v>
      </c>
      <c r="C100">
        <f t="shared" si="51"/>
        <v>-6.2383211301729356E-3</v>
      </c>
      <c r="J100">
        <v>271.65524291992188</v>
      </c>
      <c r="K100">
        <f t="shared" ca="1" si="52"/>
        <v>265.60526349041811</v>
      </c>
      <c r="L100">
        <f t="shared" ca="1" si="53"/>
        <v>6.0499794295037645</v>
      </c>
      <c r="M100">
        <f t="shared" ca="1" si="54"/>
        <v>36.602251097418694</v>
      </c>
      <c r="N100">
        <f t="shared" ca="1" si="55"/>
        <v>2.2270799431200996E-2</v>
      </c>
      <c r="O100">
        <f ca="1">+$J99+$J99*$F$5*$G$10+$J99*$G$5*L$23</f>
        <v>266.81530827571197</v>
      </c>
      <c r="P100">
        <f ca="1">+$J99+$J99*$F$5*$G$10+$J99*$G$5*M$23</f>
        <v>265.43496468495613</v>
      </c>
      <c r="Q100">
        <f ca="1">+$J99+$J99*$F$5*$G$10+$J99*$G$5*N$23</f>
        <v>265.6818807845836</v>
      </c>
      <c r="R100">
        <f ca="1">+$J99+$J99*$F$5*$G$10+$J99*$G$5*O$23</f>
        <v>265.31439449492939</v>
      </c>
      <c r="S100">
        <f ca="1">+$J99+$J99*$F$5*$G$10+$J99*$G$5*P$23</f>
        <v>263.93011408785651</v>
      </c>
      <c r="T100">
        <f ca="1">+$J99+$J99*$F$5*$G$10+$J99*$G$5*Q$23</f>
        <v>263.9879355353446</v>
      </c>
      <c r="U100">
        <f ca="1">+$J99+$J99*$F$5*$G$10+$J99*$G$5*R$23</f>
        <v>266.5269810971709</v>
      </c>
      <c r="V100">
        <f ca="1">+$J99+$J99*$F$5*$G$10+$J99*$G$5*S$23</f>
        <v>268.71502279888273</v>
      </c>
      <c r="W100">
        <f ca="1">+$J99+$J99*$F$5*$G$10+$J99*$G$5*T$23</f>
        <v>267.28102789234742</v>
      </c>
      <c r="X100">
        <f ca="1">+$J99+$J99*$F$5*$G$10+$J99*$G$5*U$23</f>
        <v>262.36500525239745</v>
      </c>
    </row>
    <row r="101" spans="1:24">
      <c r="A101" s="2">
        <v>46073</v>
      </c>
      <c r="B101">
        <v>264.10867309570313</v>
      </c>
      <c r="C101">
        <f t="shared" si="51"/>
        <v>6.6159575282559212E-3</v>
      </c>
      <c r="J101">
        <v>273.74151611328119</v>
      </c>
      <c r="K101">
        <f t="shared" ca="1" si="52"/>
        <v>271.55244450918906</v>
      </c>
      <c r="L101">
        <f t="shared" ca="1" si="53"/>
        <v>2.1890716040921347</v>
      </c>
      <c r="M101">
        <f t="shared" ca="1" si="54"/>
        <v>4.7920344878425123</v>
      </c>
      <c r="N101">
        <f t="shared" ca="1" si="55"/>
        <v>7.996856432935958E-3</v>
      </c>
      <c r="O101">
        <f ca="1">+$J100+$J100*$F$5*$G$10+$J100*$G$5*L$23</f>
        <v>272.78958346906518</v>
      </c>
      <c r="P101">
        <f ca="1">+$J100+$J100*$F$5*$G$10+$J100*$G$5*M$23</f>
        <v>271.37833253447712</v>
      </c>
      <c r="Q101">
        <f ca="1">+$J100+$J100*$F$5*$G$10+$J100*$G$5*N$23</f>
        <v>271.63077734510091</v>
      </c>
      <c r="R101">
        <f ca="1">+$J100+$J100*$F$5*$G$10+$J100*$G$5*O$23</f>
        <v>271.25506265116826</v>
      </c>
      <c r="S101">
        <f ca="1">+$J100+$J100*$F$5*$G$10+$J100*$G$5*P$23</f>
        <v>269.839786750808</v>
      </c>
      <c r="T101">
        <f ca="1">+$J100+$J100*$F$5*$G$10+$J100*$G$5*Q$23</f>
        <v>269.89890288127964</v>
      </c>
      <c r="U101">
        <f ca="1">+$J100+$J100*$F$5*$G$10+$J100*$G$5*R$23</f>
        <v>272.49480034194505</v>
      </c>
      <c r="V101">
        <f ca="1">+$J100+$J100*$F$5*$G$10+$J100*$G$5*S$23</f>
        <v>274.73183459713903</v>
      </c>
      <c r="W101">
        <f ca="1">+$J100+$J100*$F$5*$G$10+$J100*$G$5*T$23</f>
        <v>273.2657310374201</v>
      </c>
      <c r="X101">
        <f ca="1">+$J100+$J100*$F$5*$G$10+$J100*$G$5*U$23</f>
        <v>268.23963348348707</v>
      </c>
    </row>
    <row r="102" spans="1:24">
      <c r="A102" s="2">
        <v>46076</v>
      </c>
      <c r="B102">
        <v>265.705810546875</v>
      </c>
      <c r="C102">
        <f t="shared" si="51"/>
        <v>2.618388528022516E-3</v>
      </c>
      <c r="J102">
        <v>272.46377563476563</v>
      </c>
      <c r="K102">
        <f t="shared" ca="1" si="52"/>
        <v>273.63792822553944</v>
      </c>
      <c r="L102">
        <f t="shared" ca="1" si="53"/>
        <v>-1.1741525907738151</v>
      </c>
      <c r="M102">
        <f t="shared" ca="1" si="54"/>
        <v>1.3786343064208619</v>
      </c>
      <c r="N102">
        <f t="shared" ca="1" si="55"/>
        <v>4.3093897089195162E-3</v>
      </c>
      <c r="O102">
        <f ca="1">+$J101+$J101*$F$5*$G$10+$J101*$G$5*L$23</f>
        <v>274.88456823468931</v>
      </c>
      <c r="P102">
        <f ca="1">+$J101+$J101*$F$5*$G$10+$J101*$G$5*M$23</f>
        <v>273.46247909590437</v>
      </c>
      <c r="Q102">
        <f ca="1">+$J101+$J101*$F$5*$G$10+$J101*$G$5*N$23</f>
        <v>273.71686264636452</v>
      </c>
      <c r="R102">
        <f ca="1">+$J101+$J101*$F$5*$G$10+$J101*$G$5*O$23</f>
        <v>273.33826251762162</v>
      </c>
      <c r="S102">
        <f ca="1">+$J101+$J101*$F$5*$G$10+$J101*$G$5*P$23</f>
        <v>271.91211750190621</v>
      </c>
      <c r="T102">
        <f ca="1">+$J101+$J101*$F$5*$G$10+$J101*$G$5*Q$23</f>
        <v>271.97168763575723</v>
      </c>
      <c r="U102">
        <f ca="1">+$J101+$J101*$F$5*$G$10+$J101*$G$5*R$23</f>
        <v>274.5875212155517</v>
      </c>
      <c r="V102">
        <f ca="1">+$J101+$J101*$F$5*$G$10+$J101*$G$5*S$23</f>
        <v>276.84173557207214</v>
      </c>
      <c r="W102">
        <f ca="1">+$J101+$J101*$F$5*$G$10+$J101*$G$5*T$23</f>
        <v>275.36437254788478</v>
      </c>
      <c r="X102">
        <f ca="1">+$J101+$J101*$F$5*$G$10+$J101*$G$5*U$23</f>
        <v>270.2996752876428</v>
      </c>
    </row>
    <row r="103" spans="1:24">
      <c r="A103" s="2">
        <v>46077</v>
      </c>
      <c r="B103">
        <v>271.65524291992188</v>
      </c>
      <c r="C103">
        <f t="shared" si="51"/>
        <v>9.6170394755625901E-3</v>
      </c>
      <c r="J103">
        <v>263.70941162109381</v>
      </c>
      <c r="K103">
        <f t="shared" ca="1" si="52"/>
        <v>272.36067126314941</v>
      </c>
      <c r="L103">
        <f t="shared" ca="1" si="53"/>
        <v>-8.6512596420556065</v>
      </c>
      <c r="M103">
        <f t="shared" ca="1" si="54"/>
        <v>74.844293394260106</v>
      </c>
      <c r="N103">
        <f t="shared" ca="1" si="55"/>
        <v>3.2806032931756018E-2</v>
      </c>
      <c r="O103">
        <f ca="1">+$J102+$J102*$F$5*$G$10+$J102*$G$5*L$23</f>
        <v>273.60149234346284</v>
      </c>
      <c r="P103">
        <f ca="1">+$J102+$J102*$F$5*$G$10+$J102*$G$5*M$23</f>
        <v>272.18604107562447</v>
      </c>
      <c r="Q103">
        <f ca="1">+$J102+$J102*$F$5*$G$10+$J102*$G$5*N$23</f>
        <v>272.43923724258468</v>
      </c>
      <c r="R103">
        <f ca="1">+$J102+$J102*$F$5*$G$10+$J102*$G$5*O$23</f>
        <v>272.06240430179531</v>
      </c>
      <c r="S103">
        <f ca="1">+$J102+$J102*$F$5*$G$10+$J102*$G$5*P$23</f>
        <v>270.64291608860179</v>
      </c>
      <c r="T103">
        <f ca="1">+$J102+$J102*$F$5*$G$10+$J102*$G$5*Q$23</f>
        <v>270.70220816754755</v>
      </c>
      <c r="U103">
        <f ca="1">+$J102+$J102*$F$5*$G$10+$J102*$G$5*R$23</f>
        <v>273.30583184766215</v>
      </c>
      <c r="V103">
        <f ca="1">+$J102+$J102*$F$5*$G$10+$J102*$G$5*S$23</f>
        <v>275.54952423085729</v>
      </c>
      <c r="W103">
        <f ca="1">+$J102+$J102*$F$5*$G$10+$J102*$G$5*T$23</f>
        <v>274.07905707896674</v>
      </c>
      <c r="X103">
        <f ca="1">+$J102+$J102*$F$5*$G$10+$J102*$G$5*U$23</f>
        <v>269.03800025439097</v>
      </c>
    </row>
    <row r="104" spans="1:24">
      <c r="A104" s="2">
        <v>46078</v>
      </c>
      <c r="B104">
        <v>273.74151611328119</v>
      </c>
      <c r="C104">
        <f t="shared" si="51"/>
        <v>3.3225769677956954E-3</v>
      </c>
      <c r="J104">
        <v>264.2484130859375</v>
      </c>
      <c r="K104">
        <f t="shared" ca="1" si="52"/>
        <v>263.6096200318774</v>
      </c>
      <c r="L104">
        <f t="shared" ca="1" si="53"/>
        <v>0.63879305406010189</v>
      </c>
      <c r="M104">
        <f t="shared" ca="1" si="54"/>
        <v>0.40805656591543227</v>
      </c>
      <c r="N104">
        <f t="shared" ca="1" si="55"/>
        <v>2.4173959896302459E-3</v>
      </c>
      <c r="O104">
        <f ca="1">+$J103+$J103*$F$5*$G$10+$J103*$G$5*L$23</f>
        <v>264.81057306225438</v>
      </c>
      <c r="P104">
        <f ca="1">+$J103+$J103*$F$5*$G$10+$J103*$G$5*M$23</f>
        <v>263.44060077823104</v>
      </c>
      <c r="Q104">
        <f ca="1">+$J103+$J103*$F$5*$G$10+$J103*$G$5*N$23</f>
        <v>263.68566165672109</v>
      </c>
      <c r="R104">
        <f ca="1">+$J103+$J103*$F$5*$G$10+$J103*$G$5*O$23</f>
        <v>263.32093650063939</v>
      </c>
      <c r="S104">
        <f ca="1">+$J103+$J103*$F$5*$G$10+$J103*$G$5*P$23</f>
        <v>261.94705697983983</v>
      </c>
      <c r="T104">
        <f ca="1">+$J103+$J103*$F$5*$G$10+$J103*$G$5*Q$23</f>
        <v>262.00444398189592</v>
      </c>
      <c r="U104">
        <f ca="1">+$J103+$J103*$F$5*$G$10+$J103*$G$5*R$23</f>
        <v>264.5244122498471</v>
      </c>
      <c r="V104">
        <f ca="1">+$J103+$J103*$F$5*$G$10+$J103*$G$5*S$23</f>
        <v>266.69601394938553</v>
      </c>
      <c r="W104">
        <f ca="1">+$J103+$J103*$F$5*$G$10+$J103*$G$5*T$23</f>
        <v>265.27279346244268</v>
      </c>
      <c r="X104">
        <f ca="1">+$J103+$J103*$F$5*$G$10+$J103*$G$5*U$23</f>
        <v>260.39370769751741</v>
      </c>
    </row>
    <row r="105" spans="1:24">
      <c r="A105" s="2">
        <v>46079</v>
      </c>
      <c r="B105">
        <v>272.46377563476563</v>
      </c>
      <c r="C105">
        <f t="shared" si="51"/>
        <v>-2.0318977488524067E-3</v>
      </c>
      <c r="J105">
        <v>263.28018188476563</v>
      </c>
      <c r="K105">
        <f t="shared" ca="1" si="52"/>
        <v>264.14841753049774</v>
      </c>
      <c r="L105">
        <f t="shared" ca="1" si="53"/>
        <v>-0.86823564573211343</v>
      </c>
      <c r="M105">
        <f t="shared" ca="1" si="54"/>
        <v>0.75383313651985995</v>
      </c>
      <c r="N105">
        <f t="shared" ca="1" si="55"/>
        <v>3.2977630124554117E-3</v>
      </c>
      <c r="O105">
        <f ca="1">+$J104+$J104*$F$5*$G$10+$J104*$G$5*L$23</f>
        <v>265.35182521517993</v>
      </c>
      <c r="P105">
        <f ca="1">+$J104+$J104*$F$5*$G$10+$J104*$G$5*M$23</f>
        <v>263.9790528146824</v>
      </c>
      <c r="Q105">
        <f ca="1">+$J104+$J104*$F$5*$G$10+$J104*$G$5*N$23</f>
        <v>264.22461457849039</v>
      </c>
      <c r="R105">
        <f ca="1">+$J104+$J104*$F$5*$G$10+$J104*$G$5*O$23</f>
        <v>263.85914395264263</v>
      </c>
      <c r="S105">
        <f ca="1">+$J104+$J104*$F$5*$G$10+$J104*$G$5*P$23</f>
        <v>262.48245632928166</v>
      </c>
      <c r="T105">
        <f ca="1">+$J104+$J104*$F$5*$G$10+$J104*$G$5*Q$23</f>
        <v>262.53996062589312</v>
      </c>
      <c r="U105">
        <f ca="1">+$J104+$J104*$F$5*$G$10+$J104*$G$5*R$23</f>
        <v>265.0650795123961</v>
      </c>
      <c r="V105">
        <f ca="1">+$J104+$J104*$F$5*$G$10+$J104*$G$5*S$23</f>
        <v>267.2411197963973</v>
      </c>
      <c r="W105">
        <f ca="1">+$J104+$J104*$F$5*$G$10+$J104*$G$5*T$23</f>
        <v>265.81499035780746</v>
      </c>
      <c r="X105">
        <f ca="1">+$J104+$J104*$F$5*$G$10+$J104*$G$5*U$23</f>
        <v>260.92593212220618</v>
      </c>
    </row>
    <row r="106" spans="1:24">
      <c r="A106" s="2">
        <v>46080</v>
      </c>
      <c r="B106">
        <v>263.70941162109381</v>
      </c>
      <c r="C106">
        <f t="shared" si="51"/>
        <v>-1.4183140747345611E-2</v>
      </c>
      <c r="J106">
        <v>262.05233764648438</v>
      </c>
      <c r="K106">
        <f t="shared" ca="1" si="52"/>
        <v>263.18055272250729</v>
      </c>
      <c r="L106">
        <f t="shared" ca="1" si="53"/>
        <v>-1.1282150760229115</v>
      </c>
      <c r="M106">
        <f t="shared" ca="1" si="54"/>
        <v>1.272869257765384</v>
      </c>
      <c r="N106">
        <f t="shared" ca="1" si="55"/>
        <v>4.3053043760475961E-3</v>
      </c>
      <c r="O106">
        <f ca="1">+$J105+$J105*$F$5*$G$10+$J105*$G$5*L$23</f>
        <v>264.3795510075098</v>
      </c>
      <c r="P106">
        <f ca="1">+$J105+$J105*$F$5*$G$10+$J105*$G$5*M$23</f>
        <v>263.01180857504397</v>
      </c>
      <c r="Q106">
        <f ca="1">+$J105+$J105*$F$5*$G$10+$J105*$G$5*N$23</f>
        <v>263.25647057730282</v>
      </c>
      <c r="R106">
        <f ca="1">+$J105+$J105*$F$5*$G$10+$J105*$G$5*O$23</f>
        <v>262.89233907042615</v>
      </c>
      <c r="S106">
        <f ca="1">+$J105+$J105*$F$5*$G$10+$J105*$G$5*P$23</f>
        <v>261.52069576084421</v>
      </c>
      <c r="T106">
        <f ca="1">+$J105+$J105*$F$5*$G$10+$J105*$G$5*Q$23</f>
        <v>261.57798935626909</v>
      </c>
      <c r="U106">
        <f ca="1">+$J105+$J105*$F$5*$G$10+$J105*$G$5*R$23</f>
        <v>264.09385596812626</v>
      </c>
      <c r="V106">
        <f ca="1">+$J105+$J105*$F$5*$G$10+$J105*$G$5*S$23</f>
        <v>266.26192303452751</v>
      </c>
      <c r="W106">
        <f ca="1">+$J105+$J105*$F$5*$G$10+$J105*$G$5*T$23</f>
        <v>264.84101906920819</v>
      </c>
      <c r="X106">
        <f ca="1">+$J105+$J105*$F$5*$G$10+$J105*$G$5*U$23</f>
        <v>259.96987480581498</v>
      </c>
    </row>
    <row r="107" spans="1:24">
      <c r="A107" s="2">
        <v>46083</v>
      </c>
      <c r="B107">
        <v>264.2484130859375</v>
      </c>
      <c r="C107">
        <f t="shared" si="51"/>
        <v>8.867581170002609E-4</v>
      </c>
      <c r="J107">
        <v>259.82632446289063</v>
      </c>
      <c r="K107">
        <f t="shared" ca="1" si="52"/>
        <v>261.95317311886731</v>
      </c>
      <c r="L107">
        <f t="shared" ca="1" si="53"/>
        <v>-2.126848655976687</v>
      </c>
      <c r="M107">
        <f t="shared" ca="1" si="54"/>
        <v>4.5234852054298402</v>
      </c>
      <c r="N107">
        <f t="shared" ca="1" si="55"/>
        <v>8.1856550154156982E-3</v>
      </c>
      <c r="O107">
        <f ca="1">+$J106+$J106*$F$5*$G$10+$J106*$G$5*L$23</f>
        <v>263.14657970636551</v>
      </c>
      <c r="P107">
        <f ca="1">+$J106+$J106*$F$5*$G$10+$J106*$G$5*M$23</f>
        <v>261.78521593352053</v>
      </c>
      <c r="Q107">
        <f ca="1">+$J106+$J106*$F$5*$G$10+$J106*$G$5*N$23</f>
        <v>262.02873692004607</v>
      </c>
      <c r="R107">
        <f ca="1">+$J106+$J106*$F$5*$G$10+$J106*$G$5*O$23</f>
        <v>261.66630359177708</v>
      </c>
      <c r="S107">
        <f ca="1">+$J106+$J106*$F$5*$G$10+$J106*$G$5*P$23</f>
        <v>260.3010571341062</v>
      </c>
      <c r="T107">
        <f ca="1">+$J106+$J106*$F$5*$G$10+$J106*$G$5*Q$23</f>
        <v>260.35808353277315</v>
      </c>
      <c r="U107">
        <f ca="1">+$J106+$J106*$F$5*$G$10+$J106*$G$5*R$23</f>
        <v>262.86221704606766</v>
      </c>
      <c r="V107">
        <f ca="1">+$J106+$J106*$F$5*$G$10+$J106*$G$5*S$23</f>
        <v>265.02017302610977</v>
      </c>
      <c r="W107">
        <f ca="1">+$J106+$J106*$F$5*$G$10+$J106*$G$5*T$23</f>
        <v>263.60589564671301</v>
      </c>
      <c r="X107">
        <f ca="1">+$J106+$J106*$F$5*$G$10+$J106*$G$5*U$23</f>
        <v>258.75746865119328</v>
      </c>
    </row>
    <row r="108" spans="1:24">
      <c r="A108" s="2">
        <v>46084</v>
      </c>
      <c r="B108">
        <v>263.28018188476563</v>
      </c>
      <c r="C108">
        <f t="shared" si="51"/>
        <v>-1.5942185658411512E-3</v>
      </c>
      <c r="J108">
        <v>257.0013427734375</v>
      </c>
      <c r="K108">
        <f t="shared" ca="1" si="52"/>
        <v>259.72800229198663</v>
      </c>
      <c r="L108">
        <f t="shared" ca="1" si="53"/>
        <v>-2.7266595185491269</v>
      </c>
      <c r="M108">
        <f t="shared" ca="1" si="54"/>
        <v>7.4346721300945564</v>
      </c>
      <c r="N108">
        <f t="shared" ca="1" si="55"/>
        <v>1.0609514678500513E-2</v>
      </c>
      <c r="O108">
        <f ca="1">+$J107+$J107*$F$5*$G$10+$J107*$G$5*L$23</f>
        <v>260.91127144350168</v>
      </c>
      <c r="P108">
        <f ca="1">+$J107+$J107*$F$5*$G$10+$J107*$G$5*M$23</f>
        <v>259.56147182510477</v>
      </c>
      <c r="Q108">
        <f ca="1">+$J107+$J107*$F$5*$G$10+$J107*$G$5*N$23</f>
        <v>259.80292421368779</v>
      </c>
      <c r="R108">
        <f ca="1">+$J107+$J107*$F$5*$G$10+$J107*$G$5*O$23</f>
        <v>259.4435695886051</v>
      </c>
      <c r="S108">
        <f ca="1">+$J107+$J107*$F$5*$G$10+$J107*$G$5*P$23</f>
        <v>258.08992026699082</v>
      </c>
      <c r="T108">
        <f ca="1">+$J107+$J107*$F$5*$G$10+$J107*$G$5*Q$23</f>
        <v>258.14646225282485</v>
      </c>
      <c r="U108">
        <f ca="1">+$J107+$J107*$F$5*$G$10+$J107*$G$5*R$23</f>
        <v>260.62932431224061</v>
      </c>
      <c r="V108">
        <f ca="1">+$J107+$J107*$F$5*$G$10+$J107*$G$5*S$23</f>
        <v>262.76894945614396</v>
      </c>
      <c r="W108">
        <f ca="1">+$J107+$J107*$F$5*$G$10+$J107*$G$5*T$23</f>
        <v>261.36668570776482</v>
      </c>
      <c r="X108">
        <f ca="1">+$J107+$J107*$F$5*$G$10+$J107*$G$5*U$23</f>
        <v>256.55944385300222</v>
      </c>
    </row>
    <row r="109" spans="1:24">
      <c r="A109" s="2">
        <v>46085</v>
      </c>
      <c r="B109">
        <v>262.05233764648438</v>
      </c>
      <c r="C109">
        <f t="shared" si="51"/>
        <v>-2.0301311208093917E-3</v>
      </c>
      <c r="J109">
        <v>259.41705322265619</v>
      </c>
      <c r="K109">
        <f t="shared" ca="1" si="52"/>
        <v>256.90408961789615</v>
      </c>
      <c r="L109">
        <f t="shared" ca="1" si="53"/>
        <v>2.5129636047600457</v>
      </c>
      <c r="M109">
        <f t="shared" ca="1" si="54"/>
        <v>6.3149860788486025</v>
      </c>
      <c r="N109">
        <f t="shared" ca="1" si="55"/>
        <v>9.6869638041998073E-3</v>
      </c>
      <c r="O109">
        <f ca="1">+$J108+$J108*$F$5*$G$10+$J108*$G$5*L$23</f>
        <v>258.07449358458575</v>
      </c>
      <c r="P109">
        <f ca="1">+$J108+$J108*$F$5*$G$10+$J108*$G$5*M$23</f>
        <v>256.7393697663191</v>
      </c>
      <c r="Q109">
        <f ca="1">+$J108+$J108*$F$5*$G$10+$J108*$G$5*N$23</f>
        <v>256.97819694524321</v>
      </c>
      <c r="R109">
        <f ca="1">+$J108+$J108*$F$5*$G$10+$J108*$G$5*O$23</f>
        <v>256.62274943095071</v>
      </c>
      <c r="S109">
        <f ca="1">+$J108+$J108*$F$5*$G$10+$J108*$G$5*P$23</f>
        <v>255.28381776566093</v>
      </c>
      <c r="T109">
        <f ca="1">+$J108+$J108*$F$5*$G$10+$J108*$G$5*Q$23</f>
        <v>255.33974499440674</v>
      </c>
      <c r="U109">
        <f ca="1">+$J108+$J108*$F$5*$G$10+$J108*$G$5*R$23</f>
        <v>257.79561194518681</v>
      </c>
      <c r="V109">
        <f ca="1">+$J108+$J108*$F$5*$G$10+$J108*$G$5*S$23</f>
        <v>259.91197385020808</v>
      </c>
      <c r="W109">
        <f ca="1">+$J108+$J108*$F$5*$G$10+$J108*$G$5*T$23</f>
        <v>258.52495632224617</v>
      </c>
      <c r="X109">
        <f ca="1">+$J108+$J108*$F$5*$G$10+$J108*$G$5*U$23</f>
        <v>253.76998157415397</v>
      </c>
    </row>
    <row r="110" spans="1:24">
      <c r="A110" s="2">
        <v>46086</v>
      </c>
      <c r="B110">
        <v>259.82632446289063</v>
      </c>
      <c r="C110">
        <f t="shared" si="51"/>
        <v>-3.7048884170255889E-3</v>
      </c>
      <c r="J110">
        <v>260.3653564453125</v>
      </c>
      <c r="K110">
        <f t="shared" ca="1" si="52"/>
        <v>259.31888592611648</v>
      </c>
      <c r="L110">
        <f t="shared" ca="1" si="53"/>
        <v>1.0464705191960206</v>
      </c>
      <c r="M110">
        <f t="shared" ca="1" si="54"/>
        <v>1.0951005475463891</v>
      </c>
      <c r="N110">
        <f t="shared" ca="1" si="55"/>
        <v>4.0192387093396691E-3</v>
      </c>
      <c r="O110">
        <f ca="1">+$J109+$J109*$F$5*$G$10+$J109*$G$5*L$23</f>
        <v>260.50029122478992</v>
      </c>
      <c r="P110">
        <f ca="1">+$J109+$J109*$F$5*$G$10+$J109*$G$5*M$23</f>
        <v>259.15261777342027</v>
      </c>
      <c r="Q110">
        <f ca="1">+$J109+$J109*$F$5*$G$10+$J109*$G$5*N$23</f>
        <v>259.39368983287869</v>
      </c>
      <c r="R110">
        <f ca="1">+$J109+$J109*$F$5*$G$10+$J109*$G$5*O$23</f>
        <v>259.03490125326272</v>
      </c>
      <c r="S110">
        <f ca="1">+$J109+$J109*$F$5*$G$10+$J109*$G$5*P$23</f>
        <v>257.68338416262173</v>
      </c>
      <c r="T110">
        <f ca="1">+$J109+$J109*$F$5*$G$10+$J109*$G$5*Q$23</f>
        <v>257.73983708508348</v>
      </c>
      <c r="U110">
        <f ca="1">+$J109+$J109*$F$5*$G$10+$J109*$G$5*R$23</f>
        <v>260.21878820885217</v>
      </c>
      <c r="V110">
        <f ca="1">+$J109+$J109*$F$5*$G$10+$J109*$G$5*S$23</f>
        <v>262.35504307440476</v>
      </c>
      <c r="W110">
        <f ca="1">+$J109+$J109*$F$5*$G$10+$J109*$G$5*T$23</f>
        <v>260.95498813309945</v>
      </c>
      <c r="X110">
        <f ca="1">+$J109+$J109*$F$5*$G$10+$J109*$G$5*U$23</f>
        <v>256.15531851275182</v>
      </c>
    </row>
    <row r="111" spans="1:24">
      <c r="A111" s="2">
        <v>46087</v>
      </c>
      <c r="B111">
        <v>257.0013427734375</v>
      </c>
      <c r="C111">
        <f t="shared" si="51"/>
        <v>-4.7477573501542311E-3</v>
      </c>
      <c r="J111">
        <v>260.34539794921881</v>
      </c>
      <c r="K111">
        <f t="shared" ca="1" si="52"/>
        <v>260.26683029663684</v>
      </c>
      <c r="L111">
        <f t="shared" ca="1" si="53"/>
        <v>7.856765258196674E-2</v>
      </c>
      <c r="M111">
        <f t="shared" ca="1" si="54"/>
        <v>6.172876032240625E-3</v>
      </c>
      <c r="N111">
        <f t="shared" ca="1" si="55"/>
        <v>3.0178237526323244E-4</v>
      </c>
      <c r="O111">
        <f ca="1">+$J110+$J110*$F$5*$G$10+$J110*$G$5*L$23</f>
        <v>261.45255424143647</v>
      </c>
      <c r="P111">
        <f ca="1">+$J110+$J110*$F$5*$G$10+$J110*$G$5*M$23</f>
        <v>260.09995434802636</v>
      </c>
      <c r="Q111">
        <f ca="1">+$J110+$J110*$F$5*$G$10+$J110*$G$5*N$23</f>
        <v>260.34190765028677</v>
      </c>
      <c r="R111">
        <f ca="1">+$J110+$J110*$F$5*$G$10+$J110*$G$5*O$23</f>
        <v>259.98180751323048</v>
      </c>
      <c r="S111">
        <f ca="1">+$J110+$J110*$F$5*$G$10+$J110*$G$5*P$23</f>
        <v>258.62534993006363</v>
      </c>
      <c r="T111">
        <f ca="1">+$J110+$J110*$F$5*$G$10+$J110*$G$5*Q$23</f>
        <v>258.68200921709411</v>
      </c>
      <c r="U111">
        <f ca="1">+$J110+$J110*$F$5*$G$10+$J110*$G$5*R$23</f>
        <v>261.17002218668313</v>
      </c>
      <c r="V111">
        <f ca="1">+$J110+$J110*$F$5*$G$10+$J110*$G$5*S$23</f>
        <v>263.31408616635622</v>
      </c>
      <c r="W111">
        <f ca="1">+$J110+$J110*$F$5*$G$10+$J110*$G$5*T$23</f>
        <v>261.90891330162896</v>
      </c>
      <c r="X111">
        <f ca="1">+$J110+$J110*$F$5*$G$10+$J110*$G$5*U$23</f>
        <v>257.09169841156171</v>
      </c>
    </row>
    <row r="112" spans="1:24">
      <c r="A112" s="2">
        <v>46090</v>
      </c>
      <c r="B112">
        <v>259.41705322265619</v>
      </c>
      <c r="C112">
        <f t="shared" si="51"/>
        <v>4.0631293483996229E-3</v>
      </c>
      <c r="J112">
        <v>255.30439758300781</v>
      </c>
      <c r="K112">
        <f t="shared" ca="1" si="52"/>
        <v>260.24687935313682</v>
      </c>
      <c r="L112">
        <f t="shared" ca="1" si="53"/>
        <v>-4.9424817701290067</v>
      </c>
      <c r="M112">
        <f t="shared" ca="1" si="54"/>
        <v>24.42812604805756</v>
      </c>
      <c r="N112">
        <f t="shared" ca="1" si="55"/>
        <v>1.9359172097778082E-2</v>
      </c>
      <c r="O112">
        <f ca="1">+$J111+$J111*$F$5*$G$10+$J111*$G$5*L$23</f>
        <v>261.4325124054036</v>
      </c>
      <c r="P112">
        <f ca="1">+$J111+$J111*$F$5*$G$10+$J111*$G$5*M$23</f>
        <v>260.08001619652379</v>
      </c>
      <c r="Q112">
        <f ca="1">+$J111+$J111*$F$5*$G$10+$J111*$G$5*N$23</f>
        <v>260.32195095167754</v>
      </c>
      <c r="R112">
        <f ca="1">+$J111+$J111*$F$5*$G$10+$J111*$G$5*O$23</f>
        <v>259.96187841835962</v>
      </c>
      <c r="S112">
        <f ca="1">+$J111+$J111*$F$5*$G$10+$J111*$G$5*P$23</f>
        <v>258.60552481543709</v>
      </c>
      <c r="T112">
        <f ca="1">+$J111+$J111*$F$5*$G$10+$J111*$G$5*Q$23</f>
        <v>258.66217975920858</v>
      </c>
      <c r="U112">
        <f ca="1">+$J111+$J111*$F$5*$G$10+$J111*$G$5*R$23</f>
        <v>261.15000200835078</v>
      </c>
      <c r="V112">
        <f ca="1">+$J111+$J111*$F$5*$G$10+$J111*$G$5*S$23</f>
        <v>263.2939016332374</v>
      </c>
      <c r="W112">
        <f ca="1">+$J111+$J111*$F$5*$G$10+$J111*$G$5*T$23</f>
        <v>261.88883648305989</v>
      </c>
      <c r="X112">
        <f ca="1">+$J111+$J111*$F$5*$G$10+$J111*$G$5*U$23</f>
        <v>257.07199086010968</v>
      </c>
    </row>
    <row r="113" spans="1:24">
      <c r="A113" s="2">
        <v>46091</v>
      </c>
      <c r="B113">
        <v>260.3653564453125</v>
      </c>
      <c r="C113">
        <f t="shared" si="51"/>
        <v>1.5846758414822862E-3</v>
      </c>
      <c r="J113">
        <v>249.6744384765625</v>
      </c>
      <c r="K113">
        <f t="shared" ca="1" si="52"/>
        <v>255.20778657693063</v>
      </c>
      <c r="L113">
        <f t="shared" ca="1" si="53"/>
        <v>-5.53334810036813</v>
      </c>
      <c r="M113">
        <f t="shared" ca="1" si="54"/>
        <v>30.617941199847593</v>
      </c>
      <c r="N113">
        <f t="shared" ca="1" si="55"/>
        <v>2.2162253109012431E-2</v>
      </c>
      <c r="O113">
        <f ca="1">+$J112+$J112*$F$5*$G$10+$J112*$G$5*L$23</f>
        <v>256.3704625241449</v>
      </c>
      <c r="P113">
        <f ca="1">+$J112+$J112*$F$5*$G$10+$J112*$G$5*M$23</f>
        <v>255.04415434830875</v>
      </c>
      <c r="Q113">
        <f ca="1">+$J112+$J112*$F$5*$G$10+$J112*$G$5*N$23</f>
        <v>255.28140458359414</v>
      </c>
      <c r="R113">
        <f ca="1">+$J112+$J112*$F$5*$G$10+$J112*$G$5*O$23</f>
        <v>254.92830404127974</v>
      </c>
      <c r="S113">
        <f ca="1">+$J112+$J112*$F$5*$G$10+$J112*$G$5*P$23</f>
        <v>253.59821316112055</v>
      </c>
      <c r="T113">
        <f ca="1">+$J112+$J112*$F$5*$G$10+$J112*$G$5*Q$23</f>
        <v>253.65377110992097</v>
      </c>
      <c r="U113">
        <f ca="1">+$J112+$J112*$F$5*$G$10+$J112*$G$5*R$23</f>
        <v>256.09342230258284</v>
      </c>
      <c r="V113">
        <f ca="1">+$J112+$J112*$F$5*$G$10+$J112*$G$5*S$23</f>
        <v>258.19581015549534</v>
      </c>
      <c r="W113">
        <f ca="1">+$J112+$J112*$F$5*$G$10+$J112*$G$5*T$23</f>
        <v>256.81795091712723</v>
      </c>
      <c r="X113">
        <f ca="1">+$J112+$J112*$F$5*$G$10+$J112*$G$5*U$23</f>
        <v>252.09437262573181</v>
      </c>
    </row>
    <row r="114" spans="1:24">
      <c r="A114" s="2">
        <v>46092</v>
      </c>
      <c r="B114">
        <v>260.34539794921881</v>
      </c>
      <c r="C114">
        <f t="shared" si="51"/>
        <v>-3.3292435970166773E-5</v>
      </c>
      <c r="J114">
        <v>252.36964416503909</v>
      </c>
      <c r="K114">
        <f t="shared" ca="1" si="52"/>
        <v>249.57995793129444</v>
      </c>
      <c r="L114">
        <f t="shared" ca="1" si="53"/>
        <v>2.7896862337446464</v>
      </c>
      <c r="M114">
        <f t="shared" ca="1" si="54"/>
        <v>7.7823492827443896</v>
      </c>
      <c r="N114">
        <f t="shared" ca="1" si="55"/>
        <v>1.1053969042014852E-2</v>
      </c>
      <c r="O114">
        <f ca="1">+$J113+$J113*$F$5*$G$10+$J113*$G$5*L$23</f>
        <v>250.71699460985985</v>
      </c>
      <c r="P114">
        <f ca="1">+$J113+$J113*$F$5*$G$10+$J113*$G$5*M$23</f>
        <v>249.41993411194539</v>
      </c>
      <c r="Q114">
        <f ca="1">+$J113+$J113*$F$5*$G$10+$J113*$G$5*N$23</f>
        <v>249.65195251755884</v>
      </c>
      <c r="R114">
        <f ca="1">+$J113+$J113*$F$5*$G$10+$J113*$G$5*O$23</f>
        <v>249.30663852977511</v>
      </c>
      <c r="S114">
        <f ca="1">+$J113+$J113*$F$5*$G$10+$J113*$G$5*P$23</f>
        <v>248.0058787435338</v>
      </c>
      <c r="T114">
        <f ca="1">+$J113+$J113*$F$5*$G$10+$J113*$G$5*Q$23</f>
        <v>248.06021153137831</v>
      </c>
      <c r="U114">
        <f ca="1">+$J113+$J113*$F$5*$G$10+$J113*$G$5*R$23</f>
        <v>250.44606366464791</v>
      </c>
      <c r="V114">
        <f ca="1">+$J113+$J113*$F$5*$G$10+$J113*$G$5*S$23</f>
        <v>252.50208977154338</v>
      </c>
      <c r="W114">
        <f ca="1">+$J113+$J113*$F$5*$G$10+$J113*$G$5*T$23</f>
        <v>251.15461501240824</v>
      </c>
      <c r="X114">
        <f ca="1">+$J113+$J113*$F$5*$G$10+$J113*$G$5*U$23</f>
        <v>246.53520082029354</v>
      </c>
    </row>
    <row r="115" spans="1:24">
      <c r="A115" s="2">
        <v>46093</v>
      </c>
      <c r="B115">
        <v>255.30439758300781</v>
      </c>
      <c r="C115">
        <f t="shared" si="51"/>
        <v>-8.4916096496315992E-3</v>
      </c>
      <c r="J115">
        <v>253.77711486816409</v>
      </c>
      <c r="K115">
        <f t="shared" ca="1" si="52"/>
        <v>252.27414371359001</v>
      </c>
      <c r="L115">
        <f t="shared" ca="1" si="53"/>
        <v>1.5029711545740838</v>
      </c>
      <c r="M115">
        <f t="shared" ca="1" si="54"/>
        <v>2.2589222914817544</v>
      </c>
      <c r="N115">
        <f t="shared" ca="1" si="55"/>
        <v>5.9224061844775468E-3</v>
      </c>
      <c r="O115">
        <f ca="1">+$J114+$J114*$F$5*$G$10+$J114*$G$5*L$23</f>
        <v>253.423454567048</v>
      </c>
      <c r="P115">
        <f ca="1">+$J114+$J114*$F$5*$G$10+$J114*$G$5*M$23</f>
        <v>252.11239245625876</v>
      </c>
      <c r="Q115">
        <f ca="1">+$J114+$J114*$F$5*$G$10+$J114*$G$5*N$23</f>
        <v>252.34691547279857</v>
      </c>
      <c r="R115">
        <f ca="1">+$J114+$J114*$F$5*$G$10+$J114*$G$5*O$23</f>
        <v>251.99787386183539</v>
      </c>
      <c r="S115">
        <f ca="1">+$J114+$J114*$F$5*$G$10+$J114*$G$5*P$23</f>
        <v>250.6830725293444</v>
      </c>
      <c r="T115">
        <f ca="1">+$J114+$J114*$F$5*$G$10+$J114*$G$5*Q$23</f>
        <v>250.7379918331325</v>
      </c>
      <c r="U115">
        <f ca="1">+$J114+$J114*$F$5*$G$10+$J114*$G$5*R$23</f>
        <v>253.14959895470082</v>
      </c>
      <c r="V115">
        <f ca="1">+$J114+$J114*$F$5*$G$10+$J114*$G$5*S$23</f>
        <v>255.22781961740574</v>
      </c>
      <c r="W115">
        <f ca="1">+$J114+$J114*$F$5*$G$10+$J114*$G$5*T$23</f>
        <v>253.8657990294783</v>
      </c>
      <c r="X115">
        <f ca="1">+$J114+$J114*$F$5*$G$10+$J114*$G$5*U$23</f>
        <v>249.19651881389726</v>
      </c>
    </row>
    <row r="116" spans="1:24">
      <c r="A116" s="2">
        <v>46094</v>
      </c>
      <c r="B116">
        <v>249.6744384765625</v>
      </c>
      <c r="C116">
        <f t="shared" si="51"/>
        <v>-9.6842137197903893E-3</v>
      </c>
      <c r="J116">
        <v>249.49476623535159</v>
      </c>
      <c r="K116">
        <f t="shared" ca="1" si="52"/>
        <v>253.68108180873037</v>
      </c>
      <c r="L116">
        <f t="shared" ca="1" si="53"/>
        <v>-4.1863155733787778</v>
      </c>
      <c r="M116">
        <f t="shared" ca="1" si="54"/>
        <v>17.525238079913684</v>
      </c>
      <c r="N116">
        <f t="shared" ca="1" si="55"/>
        <v>1.6779171910282772E-2</v>
      </c>
      <c r="O116">
        <f ca="1">+$J115+$J115*$F$5*$G$10+$J115*$G$5*L$23</f>
        <v>254.83680239248849</v>
      </c>
      <c r="P116">
        <f ca="1">+$J115+$J115*$F$5*$G$10+$J115*$G$5*M$23</f>
        <v>253.51842846130575</v>
      </c>
      <c r="Q116">
        <f ca="1">+$J115+$J115*$F$5*$G$10+$J115*$G$5*N$23</f>
        <v>253.75425941753883</v>
      </c>
      <c r="R116">
        <f ca="1">+$J115+$J115*$F$5*$G$10+$J115*$G$5*O$23</f>
        <v>253.40327119432271</v>
      </c>
      <c r="S116">
        <f ca="1">+$J115+$J115*$F$5*$G$10+$J115*$G$5*P$23</f>
        <v>252.08113718772177</v>
      </c>
      <c r="T116">
        <f ca="1">+$J115+$J115*$F$5*$G$10+$J115*$G$5*Q$23</f>
        <v>252.13636277759818</v>
      </c>
      <c r="U116">
        <f ca="1">+$J115+$J115*$F$5*$G$10+$J115*$G$5*R$23</f>
        <v>254.56141948175113</v>
      </c>
      <c r="V116">
        <f ca="1">+$J115+$J115*$F$5*$G$10+$J115*$G$5*S$23</f>
        <v>256.65123042389342</v>
      </c>
      <c r="W116">
        <f ca="1">+$J115+$J115*$F$5*$G$10+$J115*$G$5*T$23</f>
        <v>255.28161381909595</v>
      </c>
      <c r="X116">
        <f ca="1">+$J115+$J115*$F$5*$G$10+$J115*$G$5*U$23</f>
        <v>250.58629293158759</v>
      </c>
    </row>
    <row r="117" spans="1:24">
      <c r="A117" s="2">
        <v>46097</v>
      </c>
      <c r="B117">
        <v>252.36964416503909</v>
      </c>
      <c r="C117">
        <f t="shared" si="51"/>
        <v>4.6630335608066602E-3</v>
      </c>
      <c r="J117">
        <v>248.51652526855469</v>
      </c>
      <c r="K117">
        <f t="shared" ca="1" si="52"/>
        <v>249.40035368074942</v>
      </c>
      <c r="L117">
        <f t="shared" ca="1" si="53"/>
        <v>-0.88382841219473107</v>
      </c>
      <c r="M117">
        <f t="shared" ca="1" si="54"/>
        <v>0.78115266220265944</v>
      </c>
      <c r="N117">
        <f t="shared" ca="1" si="55"/>
        <v>3.5564170681995438E-3</v>
      </c>
      <c r="O117">
        <f ca="1">+$J116+$J116*$F$5*$G$10+$J116*$G$5*L$23</f>
        <v>250.5365721180498</v>
      </c>
      <c r="P117">
        <f ca="1">+$J116+$J116*$F$5*$G$10+$J116*$G$5*M$23</f>
        <v>249.2404450187166</v>
      </c>
      <c r="Q117">
        <f ca="1">+$J116+$J116*$F$5*$G$10+$J116*$G$5*N$23</f>
        <v>249.47229645783082</v>
      </c>
      <c r="R117">
        <f ca="1">+$J116+$J116*$F$5*$G$10+$J116*$G$5*O$23</f>
        <v>249.1272309670037</v>
      </c>
      <c r="S117">
        <f ca="1">+$J116+$J116*$F$5*$G$10+$J116*$G$5*P$23</f>
        <v>247.82740724144801</v>
      </c>
      <c r="T117">
        <f ca="1">+$J116+$J116*$F$5*$G$10+$J116*$G$5*Q$23</f>
        <v>247.88170093000059</v>
      </c>
      <c r="U117">
        <f ca="1">+$J116+$J116*$F$5*$G$10+$J116*$G$5*R$23</f>
        <v>250.26583614181601</v>
      </c>
      <c r="V117">
        <f ca="1">+$J116+$J116*$F$5*$G$10+$J116*$G$5*S$23</f>
        <v>252.3203826786727</v>
      </c>
      <c r="W117">
        <f ca="1">+$J116+$J116*$F$5*$G$10+$J116*$G$5*T$23</f>
        <v>250.97387759753678</v>
      </c>
      <c r="X117">
        <f ca="1">+$J116+$J116*$F$5*$G$10+$J116*$G$5*U$23</f>
        <v>246.35778765641885</v>
      </c>
    </row>
    <row r="118" spans="1:24">
      <c r="A118" s="2">
        <v>46098</v>
      </c>
      <c r="B118">
        <v>253.77711486816409</v>
      </c>
      <c r="C118">
        <f t="shared" si="51"/>
        <v>2.4153403116446855E-3</v>
      </c>
      <c r="J118">
        <v>247.54823303222659</v>
      </c>
      <c r="K118">
        <f t="shared" ca="1" si="52"/>
        <v>248.42248289497911</v>
      </c>
      <c r="L118">
        <f t="shared" ca="1" si="53"/>
        <v>-0.87424986275252081</v>
      </c>
      <c r="M118">
        <f t="shared" ca="1" si="54"/>
        <v>0.76431282252280153</v>
      </c>
      <c r="N118">
        <f t="shared" ca="1" si="55"/>
        <v>3.5316344295566364E-3</v>
      </c>
      <c r="O118">
        <f ca="1">+$J117+$J117*$F$5*$G$10+$J117*$G$5*L$23</f>
        <v>249.55424634735388</v>
      </c>
      <c r="P118">
        <f ca="1">+$J117+$J117*$F$5*$G$10+$J117*$G$5*M$23</f>
        <v>248.26320121685663</v>
      </c>
      <c r="Q118">
        <f ca="1">+$J117+$J117*$F$5*$G$10+$J117*$G$5*N$23</f>
        <v>248.49414359250883</v>
      </c>
      <c r="R118">
        <f ca="1">+$J117+$J117*$F$5*$G$10+$J117*$G$5*O$23</f>
        <v>248.15043106472959</v>
      </c>
      <c r="S118">
        <f ca="1">+$J117+$J117*$F$5*$G$10+$J117*$G$5*P$23</f>
        <v>246.85570380206627</v>
      </c>
      <c r="T118">
        <f ca="1">+$J117+$J117*$F$5*$G$10+$J117*$G$5*Q$23</f>
        <v>246.90978461116174</v>
      </c>
      <c r="U118">
        <f ca="1">+$J117+$J117*$F$5*$G$10+$J117*$G$5*R$23</f>
        <v>249.28457189648648</v>
      </c>
      <c r="V118">
        <f ca="1">+$J117+$J117*$F$5*$G$10+$J117*$G$5*S$23</f>
        <v>251.33106278704295</v>
      </c>
      <c r="W118">
        <f ca="1">+$J117+$J117*$F$5*$G$10+$J117*$G$5*T$23</f>
        <v>249.98983720115353</v>
      </c>
      <c r="X118">
        <f ca="1">+$J117+$J117*$F$5*$G$10+$J117*$G$5*U$23</f>
        <v>245.39184643043089</v>
      </c>
    </row>
    <row r="119" spans="1:24">
      <c r="A119" s="2">
        <v>46099</v>
      </c>
      <c r="B119">
        <v>249.49476623535159</v>
      </c>
      <c r="C119">
        <f t="shared" si="51"/>
        <v>-7.391016020814504E-3</v>
      </c>
      <c r="J119">
        <v>251.04200744628909</v>
      </c>
      <c r="K119">
        <f t="shared" ca="1" si="52"/>
        <v>247.45455707492903</v>
      </c>
      <c r="L119">
        <f t="shared" ca="1" si="53"/>
        <v>3.5874503713600632</v>
      </c>
      <c r="M119">
        <f t="shared" ca="1" si="54"/>
        <v>12.869800166971455</v>
      </c>
      <c r="N119">
        <f t="shared" ca="1" si="55"/>
        <v>1.4290239342224845E-2</v>
      </c>
      <c r="O119">
        <f ca="1">+$J118+$J118*$F$5*$G$10+$J118*$G$5*L$23</f>
        <v>248.58191084966523</v>
      </c>
      <c r="P119">
        <f ca="1">+$J118+$J118*$F$5*$G$10+$J118*$G$5*M$23</f>
        <v>247.29589600427784</v>
      </c>
      <c r="Q119">
        <f ca="1">+$J118+$J118*$F$5*$G$10+$J118*$G$5*N$23</f>
        <v>247.52593856166183</v>
      </c>
      <c r="R119">
        <f ca="1">+$J118+$J118*$F$5*$G$10+$J118*$G$5*O$23</f>
        <v>247.18356523726882</v>
      </c>
      <c r="S119">
        <f ca="1">+$J118+$J118*$F$5*$G$10+$J118*$G$5*P$23</f>
        <v>245.8938826063669</v>
      </c>
      <c r="T119">
        <f ca="1">+$J118+$J118*$F$5*$G$10+$J118*$G$5*Q$23</f>
        <v>245.9477527009937</v>
      </c>
      <c r="U119">
        <f ca="1">+$J118+$J118*$F$5*$G$10+$J118*$G$5*R$23</f>
        <v>248.31328712842969</v>
      </c>
      <c r="V119">
        <f ca="1">+$J118+$J118*$F$5*$G$10+$J118*$G$5*S$23</f>
        <v>250.35180429877221</v>
      </c>
      <c r="W119">
        <f ca="1">+$J118+$J118*$F$5*$G$10+$J118*$G$5*T$23</f>
        <v>249.01580451555557</v>
      </c>
      <c r="X119">
        <f ca="1">+$J118+$J118*$F$5*$G$10+$J118*$G$5*U$23</f>
        <v>244.43572884629825</v>
      </c>
    </row>
    <row r="120" spans="1:24">
      <c r="A120" s="2">
        <v>46100</v>
      </c>
      <c r="B120">
        <v>248.51652526855469</v>
      </c>
      <c r="C120">
        <f t="shared" si="51"/>
        <v>-1.7061669384419184E-3</v>
      </c>
      <c r="J120">
        <v>251.19172668457031</v>
      </c>
      <c r="K120">
        <f t="shared" ca="1" si="52"/>
        <v>250.94700939244976</v>
      </c>
      <c r="L120">
        <f t="shared" ca="1" si="53"/>
        <v>0.24471729212055493</v>
      </c>
      <c r="M120">
        <f t="shared" ca="1" si="54"/>
        <v>5.9886553062817018E-2</v>
      </c>
      <c r="N120">
        <f t="shared" ca="1" si="55"/>
        <v>9.7422512815421847E-4</v>
      </c>
      <c r="O120">
        <f ca="1">+$J119+$J119*$F$5*$G$10+$J119*$G$5*L$23</f>
        <v>252.0902740857392</v>
      </c>
      <c r="P120">
        <f ca="1">+$J119+$J119*$F$5*$G$10+$J119*$G$5*M$23</f>
        <v>250.78610905722226</v>
      </c>
      <c r="Q120">
        <f ca="1">+$J119+$J119*$F$5*$G$10+$J119*$G$5*N$23</f>
        <v>251.01939832249545</v>
      </c>
      <c r="R120">
        <f ca="1">+$J119+$J119*$F$5*$G$10+$J119*$G$5*O$23</f>
        <v>250.67219290883173</v>
      </c>
      <c r="S120">
        <f ca="1">+$J119+$J119*$F$5*$G$10+$J119*$G$5*P$23</f>
        <v>249.36430832947346</v>
      </c>
      <c r="T120">
        <f ca="1">+$J119+$J119*$F$5*$G$10+$J119*$G$5*Q$23</f>
        <v>249.41893872020896</v>
      </c>
      <c r="U120">
        <f ca="1">+$J119+$J119*$F$5*$G$10+$J119*$G$5*R$23</f>
        <v>251.81785914098018</v>
      </c>
      <c r="V120">
        <f ca="1">+$J119+$J119*$F$5*$G$10+$J119*$G$5*S$23</f>
        <v>253.88514694339358</v>
      </c>
      <c r="W120">
        <f ca="1">+$J119+$J119*$F$5*$G$10+$J119*$G$5*T$23</f>
        <v>252.5302915141373</v>
      </c>
      <c r="X120">
        <f ca="1">+$J119+$J119*$F$5*$G$10+$J119*$G$5*U$23</f>
        <v>247.88557490201518</v>
      </c>
    </row>
    <row r="121" spans="1:24">
      <c r="A121" s="2">
        <v>46101</v>
      </c>
      <c r="B121">
        <v>247.54823303222659</v>
      </c>
      <c r="C121">
        <f t="shared" si="51"/>
        <v>-1.6954419847437835E-3</v>
      </c>
      <c r="J121">
        <v>252.16998291015619</v>
      </c>
      <c r="K121">
        <f t="shared" ca="1" si="52"/>
        <v>251.09667197472982</v>
      </c>
      <c r="L121">
        <f t="shared" ca="1" si="53"/>
        <v>1.0733109354263775</v>
      </c>
      <c r="M121">
        <f t="shared" ca="1" si="54"/>
        <v>1.1519963641058455</v>
      </c>
      <c r="N121">
        <f t="shared" ca="1" si="55"/>
        <v>4.2562993542684243E-3</v>
      </c>
      <c r="O121">
        <f ca="1">+$J120+$J120*$F$5*$G$10+$J120*$G$5*L$23</f>
        <v>252.24061850099523</v>
      </c>
      <c r="P121">
        <f ca="1">+$J120+$J120*$F$5*$G$10+$J120*$G$5*M$23</f>
        <v>250.93567567996206</v>
      </c>
      <c r="Q121">
        <f ca="1">+$J120+$J120*$F$5*$G$10+$J120*$G$5*N$23</f>
        <v>251.16910407689468</v>
      </c>
      <c r="R121">
        <f ca="1">+$J120+$J120*$F$5*$G$10+$J120*$G$5*O$23</f>
        <v>250.8216915929857</v>
      </c>
      <c r="S121">
        <f ca="1">+$J120+$J120*$F$5*$G$10+$J120*$G$5*P$23</f>
        <v>249.51302700280385</v>
      </c>
      <c r="T121">
        <f ca="1">+$J120+$J120*$F$5*$G$10+$J120*$G$5*Q$23</f>
        <v>249.56768997462237</v>
      </c>
      <c r="U121">
        <f ca="1">+$J120+$J120*$F$5*$G$10+$J120*$G$5*R$23</f>
        <v>251.96804109036671</v>
      </c>
      <c r="V121">
        <f ca="1">+$J120+$J120*$F$5*$G$10+$J120*$G$5*S$23</f>
        <v>254.03656180498567</v>
      </c>
      <c r="W121">
        <f ca="1">+$J120+$J120*$F$5*$G$10+$J120*$G$5*T$23</f>
        <v>252.68089835190534</v>
      </c>
      <c r="X121">
        <f ca="1">+$J120+$J120*$F$5*$G$10+$J120*$G$5*U$23</f>
        <v>248.03341167177638</v>
      </c>
    </row>
    <row r="122" spans="1:24">
      <c r="A122" s="2">
        <v>46104</v>
      </c>
      <c r="B122">
        <v>251.04200744628909</v>
      </c>
      <c r="C122">
        <f t="shared" si="51"/>
        <v>6.0865683334858931E-3</v>
      </c>
      <c r="J122">
        <v>252.43951416015619</v>
      </c>
      <c r="K122">
        <f t="shared" ca="1" si="52"/>
        <v>252.07455801351495</v>
      </c>
      <c r="L122">
        <f t="shared" ca="1" si="53"/>
        <v>0.36495614664124787</v>
      </c>
      <c r="M122">
        <f t="shared" ca="1" si="54"/>
        <v>0.13319298897122803</v>
      </c>
      <c r="N122">
        <f t="shared" ca="1" si="55"/>
        <v>1.4457171962773915E-3</v>
      </c>
      <c r="O122">
        <f ca="1">+$J121+$J121*$F$5*$G$10+$J121*$G$5*L$23</f>
        <v>253.22295959419569</v>
      </c>
      <c r="P122">
        <f ca="1">+$J121+$J121*$F$5*$G$10+$J121*$G$5*M$23</f>
        <v>251.91293472505703</v>
      </c>
      <c r="Q122">
        <f ca="1">+$J121+$J121*$F$5*$G$10+$J121*$G$5*N$23</f>
        <v>252.14727219963146</v>
      </c>
      <c r="R122">
        <f ca="1">+$J121+$J121*$F$5*$G$10+$J121*$G$5*O$23</f>
        <v>251.7985067315708</v>
      </c>
      <c r="S122">
        <f ca="1">+$J121+$J121*$F$5*$G$10+$J121*$G$5*P$23</f>
        <v>250.484745599001</v>
      </c>
      <c r="T122">
        <f ca="1">+$J121+$J121*$F$5*$G$10+$J121*$G$5*Q$23</f>
        <v>250.53962145359714</v>
      </c>
      <c r="U122">
        <f ca="1">+$J121+$J121*$F$5*$G$10+$J121*$G$5*R$23</f>
        <v>252.94932064164291</v>
      </c>
      <c r="V122">
        <f ca="1">+$J121+$J121*$F$5*$G$10+$J121*$G$5*S$23</f>
        <v>255.02589712821558</v>
      </c>
      <c r="W122">
        <f ca="1">+$J121+$J121*$F$5*$G$10+$J121*$G$5*T$23</f>
        <v>253.66495409753819</v>
      </c>
      <c r="X122">
        <f ca="1">+$J121+$J121*$F$5*$G$10+$J121*$G$5*U$23</f>
        <v>248.99936796469964</v>
      </c>
    </row>
    <row r="123" spans="1:24">
      <c r="A123" s="2">
        <v>46105</v>
      </c>
      <c r="B123">
        <v>251.19172668457031</v>
      </c>
      <c r="C123">
        <f t="shared" si="51"/>
        <v>2.5893219243401113E-4</v>
      </c>
      <c r="J123">
        <v>248.35679626464841</v>
      </c>
      <c r="K123">
        <f t="shared" ca="1" si="52"/>
        <v>252.34398726885493</v>
      </c>
      <c r="L123">
        <f t="shared" ca="1" si="53"/>
        <v>-3.9871910042065224</v>
      </c>
      <c r="M123">
        <f t="shared" ca="1" si="54"/>
        <v>15.897692104025417</v>
      </c>
      <c r="N123">
        <f t="shared" ca="1" si="55"/>
        <v>1.6054285866845298E-2</v>
      </c>
      <c r="O123">
        <f ca="1">+$J122+$J122*$F$5*$G$10+$J122*$G$5*L$23</f>
        <v>253.49361631566774</v>
      </c>
      <c r="P123">
        <f ca="1">+$J122+$J122*$F$5*$G$10+$J122*$G$5*M$23</f>
        <v>252.18219122975293</v>
      </c>
      <c r="Q123">
        <f ca="1">+$J122+$J122*$F$5*$G$10+$J122*$G$5*N$23</f>
        <v>252.41677917534579</v>
      </c>
      <c r="R123">
        <f ca="1">+$J122+$J122*$F$5*$G$10+$J122*$G$5*O$23</f>
        <v>252.06764093019456</v>
      </c>
      <c r="S123">
        <f ca="1">+$J122+$J122*$F$5*$G$10+$J122*$G$5*P$23</f>
        <v>250.75247558735288</v>
      </c>
      <c r="T123">
        <f ca="1">+$J122+$J122*$F$5*$G$10+$J122*$G$5*Q$23</f>
        <v>250.80741009586777</v>
      </c>
      <c r="U123">
        <f ca="1">+$J122+$J122*$F$5*$G$10+$J122*$G$5*R$23</f>
        <v>253.21968488481093</v>
      </c>
      <c r="V123">
        <f ca="1">+$J122+$J122*$F$5*$G$10+$J122*$G$5*S$23</f>
        <v>255.29848091492198</v>
      </c>
      <c r="W123">
        <f ca="1">+$J122+$J122*$F$5*$G$10+$J122*$G$5*T$23</f>
        <v>253.93608324371996</v>
      </c>
      <c r="X123">
        <f ca="1">+$J122+$J122*$F$5*$G$10+$J122*$G$5*U$23</f>
        <v>249.26551031091475</v>
      </c>
    </row>
    <row r="124" spans="1:24">
      <c r="A124" s="2">
        <v>46106</v>
      </c>
      <c r="B124">
        <v>252.16998291015619</v>
      </c>
      <c r="C124">
        <f t="shared" si="51"/>
        <v>1.6880577423654883E-3</v>
      </c>
      <c r="J124">
        <v>246.19065856933591</v>
      </c>
      <c r="K124">
        <f t="shared" ca="1" si="52"/>
        <v>248.26281433491909</v>
      </c>
      <c r="L124">
        <f t="shared" ca="1" si="53"/>
        <v>-2.0721557655831759</v>
      </c>
      <c r="M124">
        <f t="shared" ca="1" si="54"/>
        <v>4.2938295168395983</v>
      </c>
      <c r="N124">
        <f t="shared" ca="1" si="55"/>
        <v>8.4168740504814259E-3</v>
      </c>
      <c r="O124">
        <f ca="1">+$J123+$J123*$F$5*$G$10+$J123*$G$5*L$23</f>
        <v>249.39385036907211</v>
      </c>
      <c r="P124">
        <f ca="1">+$J123+$J123*$F$5*$G$10+$J123*$G$5*M$23</f>
        <v>248.10363503189529</v>
      </c>
      <c r="Q124">
        <f ca="1">+$J123+$J123*$F$5*$G$10+$J123*$G$5*N$23</f>
        <v>248.33442897397518</v>
      </c>
      <c r="R124">
        <f ca="1">+$J123+$J123*$F$5*$G$10+$J123*$G$5*O$23</f>
        <v>247.99093736051799</v>
      </c>
      <c r="S124">
        <f ca="1">+$J123+$J123*$F$5*$G$10+$J123*$G$5*P$23</f>
        <v>246.69704225779159</v>
      </c>
      <c r="T124">
        <f ca="1">+$J123+$J123*$F$5*$G$10+$J123*$G$5*Q$23</f>
        <v>246.75108830753351</v>
      </c>
      <c r="U124">
        <f ca="1">+$J123+$J123*$F$5*$G$10+$J123*$G$5*R$23</f>
        <v>249.1243492460402</v>
      </c>
      <c r="V124">
        <f ca="1">+$J123+$J123*$F$5*$G$10+$J123*$G$5*S$23</f>
        <v>251.1695247956909</v>
      </c>
      <c r="W124">
        <f ca="1">+$J123+$J123*$F$5*$G$10+$J123*$G$5*T$23</f>
        <v>249.82916125560149</v>
      </c>
      <c r="X124">
        <f ca="1">+$J123+$J123*$F$5*$G$10+$J123*$G$5*U$23</f>
        <v>245.23412575107284</v>
      </c>
    </row>
    <row r="125" spans="1:24">
      <c r="A125" s="2">
        <v>46107</v>
      </c>
      <c r="B125">
        <v>252.43951416015619</v>
      </c>
      <c r="C125">
        <f t="shared" si="51"/>
        <v>4.6394666127875942E-4</v>
      </c>
      <c r="J125">
        <v>253.33790588378909</v>
      </c>
      <c r="K125">
        <f t="shared" ca="1" si="52"/>
        <v>246.09749633853863</v>
      </c>
      <c r="L125">
        <f t="shared" ca="1" si="53"/>
        <v>7.2404095452504578</v>
      </c>
      <c r="M125">
        <f t="shared" ca="1" si="54"/>
        <v>52.423530382953942</v>
      </c>
      <c r="N125">
        <f t="shared" ca="1" si="55"/>
        <v>2.8580048137651266E-2</v>
      </c>
      <c r="O125">
        <f ca="1">+$J124+$J124*$F$5*$G$10+$J124*$G$5*L$23</f>
        <v>247.21866761430698</v>
      </c>
      <c r="P125">
        <f ca="1">+$J124+$J124*$F$5*$G$10+$J124*$G$5*M$23</f>
        <v>245.93970537798734</v>
      </c>
      <c r="Q125">
        <f ca="1">+$J124+$J124*$F$5*$G$10+$J124*$G$5*N$23</f>
        <v>246.16848636344471</v>
      </c>
      <c r="R125">
        <f ca="1">+$J124+$J124*$F$5*$G$10+$J124*$G$5*O$23</f>
        <v>245.82799064195873</v>
      </c>
      <c r="S125">
        <f ca="1">+$J124+$J124*$F$5*$G$10+$J124*$G$5*P$23</f>
        <v>244.54538073455598</v>
      </c>
      <c r="T125">
        <f ca="1">+$J124+$J124*$F$5*$G$10+$J124*$G$5*Q$23</f>
        <v>244.5989554012418</v>
      </c>
      <c r="U125">
        <f ca="1">+$J124+$J124*$F$5*$G$10+$J124*$G$5*R$23</f>
        <v>246.95151704721036</v>
      </c>
      <c r="V125">
        <f ca="1">+$J124+$J124*$F$5*$G$10+$J124*$G$5*S$23</f>
        <v>248.97885482508167</v>
      </c>
      <c r="W125">
        <f ca="1">+$J124+$J124*$F$5*$G$10+$J124*$G$5*T$23</f>
        <v>247.65018177236075</v>
      </c>
      <c r="X125">
        <f ca="1">+$J124+$J124*$F$5*$G$10+$J124*$G$5*U$23</f>
        <v>243.09522360723801</v>
      </c>
    </row>
    <row r="126" spans="1:24">
      <c r="A126" s="2">
        <v>46108</v>
      </c>
      <c r="B126">
        <v>248.35679626464841</v>
      </c>
      <c r="C126">
        <f t="shared" si="51"/>
        <v>-7.0812867404224933E-3</v>
      </c>
      <c r="J126">
        <v>255.17463684082031</v>
      </c>
      <c r="K126">
        <f t="shared" ca="1" si="52"/>
        <v>253.24203902761028</v>
      </c>
      <c r="L126">
        <f t="shared" ca="1" si="53"/>
        <v>1.9325978132100374</v>
      </c>
      <c r="M126">
        <f t="shared" ca="1" si="54"/>
        <v>3.7349343076242185</v>
      </c>
      <c r="N126">
        <f t="shared" ca="1" si="55"/>
        <v>7.5736281518276648E-3</v>
      </c>
      <c r="O126">
        <f ca="1">+$J125+$J125*$F$5*$G$10+$J125*$G$5*L$23</f>
        <v>254.39575941972745</v>
      </c>
      <c r="P126">
        <f ca="1">+$J125+$J125*$F$5*$G$10+$J125*$G$5*M$23</f>
        <v>253.07966718236742</v>
      </c>
      <c r="Q126">
        <f ca="1">+$J125+$J125*$F$5*$G$10+$J125*$G$5*N$23</f>
        <v>253.31508998881591</v>
      </c>
      <c r="R126">
        <f ca="1">+$J125+$J125*$F$5*$G$10+$J125*$G$5*O$23</f>
        <v>252.96470921667404</v>
      </c>
      <c r="S126">
        <f ca="1">+$J125+$J125*$F$5*$G$10+$J125*$G$5*P$23</f>
        <v>251.64486341141287</v>
      </c>
      <c r="T126">
        <f ca="1">+$J125+$J125*$F$5*$G$10+$J125*$G$5*Q$23</f>
        <v>251.69999342302859</v>
      </c>
      <c r="U126">
        <f ca="1">+$J125+$J125*$F$5*$G$10+$J125*$G$5*R$23</f>
        <v>254.12085311086415</v>
      </c>
      <c r="V126">
        <f ca="1">+$J125+$J125*$F$5*$G$10+$J125*$G$5*S$23</f>
        <v>256.20704724247605</v>
      </c>
      <c r="W126">
        <f ca="1">+$J125+$J125*$F$5*$G$10+$J125*$G$5*T$23</f>
        <v>254.83980101657696</v>
      </c>
      <c r="X126">
        <f ca="1">+$J125+$J125*$F$5*$G$10+$J125*$G$5*U$23</f>
        <v>250.15260626415917</v>
      </c>
    </row>
    <row r="127" spans="1:24">
      <c r="A127" s="2">
        <v>46111</v>
      </c>
      <c r="B127">
        <v>246.19065856933591</v>
      </c>
      <c r="C127">
        <f t="shared" si="51"/>
        <v>-3.8044788420428062E-3</v>
      </c>
      <c r="J127">
        <v>255.464111328125</v>
      </c>
      <c r="K127">
        <f t="shared" ca="1" si="52"/>
        <v>255.07807493815056</v>
      </c>
      <c r="L127">
        <f t="shared" ca="1" si="53"/>
        <v>0.38603638997443568</v>
      </c>
      <c r="M127">
        <f t="shared" ca="1" si="54"/>
        <v>0.14902409438449457</v>
      </c>
      <c r="N127">
        <f t="shared" ca="1" si="55"/>
        <v>1.5111178942806573E-3</v>
      </c>
      <c r="O127">
        <f ca="1">+$J126+$J126*$F$5*$G$10+$J126*$G$5*L$23</f>
        <v>256.24015994492174</v>
      </c>
      <c r="P127">
        <f ca="1">+$J126+$J126*$F$5*$G$10+$J126*$G$5*M$23</f>
        <v>254.91452587707155</v>
      </c>
      <c r="Q127">
        <f ca="1">+$J126+$J126*$F$5*$G$10+$J126*$G$5*N$23</f>
        <v>255.15165552780414</v>
      </c>
      <c r="R127">
        <f ca="1">+$J126+$J126*$F$5*$G$10+$J126*$G$5*O$23</f>
        <v>254.79873445199667</v>
      </c>
      <c r="S127">
        <f ca="1">+$J126+$J126*$F$5*$G$10+$J126*$G$5*P$23</f>
        <v>253.46931960241673</v>
      </c>
      <c r="T127">
        <f ca="1">+$J126+$J126*$F$5*$G$10+$J126*$G$5*Q$23</f>
        <v>253.52484931339305</v>
      </c>
      <c r="U127">
        <f ca="1">+$J126+$J126*$F$5*$G$10+$J126*$G$5*R$23</f>
        <v>255.9632605315287</v>
      </c>
      <c r="V127">
        <f ca="1">+$J126+$J126*$F$5*$G$10+$J126*$G$5*S$23</f>
        <v>258.06457982702216</v>
      </c>
      <c r="W127">
        <f ca="1">+$J126+$J126*$F$5*$G$10+$J126*$G$5*T$23</f>
        <v>256.68742089792835</v>
      </c>
      <c r="X127">
        <f ca="1">+$J126+$J126*$F$5*$G$10+$J126*$G$5*U$23</f>
        <v>251.96624340742264</v>
      </c>
    </row>
    <row r="128" spans="1:24">
      <c r="A128" s="2">
        <v>46112</v>
      </c>
      <c r="B128">
        <v>253.33790588378909</v>
      </c>
      <c r="C128">
        <f t="shared" si="51"/>
        <v>1.2428606219621004E-2</v>
      </c>
      <c r="J128">
        <v>258.39886474609381</v>
      </c>
      <c r="K128">
        <f t="shared" ca="1" si="52"/>
        <v>255.36743988397566</v>
      </c>
      <c r="L128">
        <f t="shared" ca="1" si="53"/>
        <v>3.0314248621181434</v>
      </c>
      <c r="M128">
        <f t="shared" ca="1" si="54"/>
        <v>9.1895366946680053</v>
      </c>
      <c r="N128">
        <f t="shared" ca="1" si="55"/>
        <v>1.1731571905692628E-2</v>
      </c>
      <c r="O128">
        <f ca="1">+$J127+$J127*$F$5*$G$10+$J127*$G$5*L$23</f>
        <v>256.53084317992204</v>
      </c>
      <c r="P128">
        <f ca="1">+$J127+$J127*$F$5*$G$10+$J127*$G$5*M$23</f>
        <v>255.20370529003497</v>
      </c>
      <c r="Q128">
        <f ca="1">+$J127+$J127*$F$5*$G$10+$J127*$G$5*N$23</f>
        <v>255.44110394471292</v>
      </c>
      <c r="R128">
        <f ca="1">+$J127+$J127*$F$5*$G$10+$J127*$G$5*O$23</f>
        <v>255.08778250918027</v>
      </c>
      <c r="S128">
        <f ca="1">+$J127+$J127*$F$5*$G$10+$J127*$G$5*P$23</f>
        <v>253.75685954857974</v>
      </c>
      <c r="T128">
        <f ca="1">+$J127+$J127*$F$5*$G$10+$J127*$G$5*Q$23</f>
        <v>253.81245225341317</v>
      </c>
      <c r="U128">
        <f ca="1">+$J127+$J127*$F$5*$G$10+$J127*$G$5*R$23</f>
        <v>256.25362964708233</v>
      </c>
      <c r="V128">
        <f ca="1">+$J127+$J127*$F$5*$G$10+$J127*$G$5*S$23</f>
        <v>258.3573327152472</v>
      </c>
      <c r="W128">
        <f ca="1">+$J127+$J127*$F$5*$G$10+$J127*$G$5*T$23</f>
        <v>256.9786115134296</v>
      </c>
      <c r="X128">
        <f ca="1">+$J127+$J127*$F$5*$G$10+$J127*$G$5*U$23</f>
        <v>252.25207823815444</v>
      </c>
    </row>
    <row r="129" spans="1:24">
      <c r="A129" s="2">
        <v>46113</v>
      </c>
      <c r="B129">
        <v>255.17463684082031</v>
      </c>
      <c r="C129">
        <f t="shared" si="51"/>
        <v>3.137329058076834E-3</v>
      </c>
      <c r="J129">
        <v>253.04841613769531</v>
      </c>
      <c r="K129">
        <f t="shared" ca="1" si="52"/>
        <v>258.30108274731646</v>
      </c>
      <c r="L129">
        <f t="shared" ca="1" si="53"/>
        <v>-5.2526666096211443</v>
      </c>
      <c r="M129">
        <f t="shared" ca="1" si="54"/>
        <v>27.590506511828888</v>
      </c>
      <c r="N129">
        <f t="shared" ca="1" si="55"/>
        <v>2.0757555766572854E-2</v>
      </c>
      <c r="O129">
        <f ca="1">+$J128+$J128*$F$5*$G$10+$J128*$G$5*L$23</f>
        <v>259.47785113701906</v>
      </c>
      <c r="P129">
        <f ca="1">+$J128+$J128*$F$5*$G$10+$J128*$G$5*M$23</f>
        <v>258.13546718208505</v>
      </c>
      <c r="Q129">
        <f ca="1">+$J128+$J128*$F$5*$G$10+$J128*$G$5*N$23</f>
        <v>258.3755930555086</v>
      </c>
      <c r="R129">
        <f ca="1">+$J128+$J128*$F$5*$G$10+$J128*$G$5*O$23</f>
        <v>258.01821268862477</v>
      </c>
      <c r="S129">
        <f ca="1">+$J128+$J128*$F$5*$G$10+$J128*$G$5*P$23</f>
        <v>256.67200018035601</v>
      </c>
      <c r="T129">
        <f ca="1">+$J128+$J128*$F$5*$G$10+$J128*$G$5*Q$23</f>
        <v>256.72823153020175</v>
      </c>
      <c r="U129">
        <f ca="1">+$J128+$J128*$F$5*$G$10+$J128*$G$5*R$23</f>
        <v>259.19745299496446</v>
      </c>
      <c r="V129">
        <f ca="1">+$J128+$J128*$F$5*$G$10+$J128*$G$5*S$23</f>
        <v>261.32532325333693</v>
      </c>
      <c r="W129">
        <f ca="1">+$J128+$J128*$F$5*$G$10+$J128*$G$5*T$23</f>
        <v>259.93076340107871</v>
      </c>
      <c r="X129">
        <f ca="1">+$J128+$J128*$F$5*$G$10+$J128*$G$5*U$23</f>
        <v>255.1499320499891</v>
      </c>
    </row>
    <row r="130" spans="1:24">
      <c r="A130" s="2">
        <v>46114</v>
      </c>
      <c r="B130">
        <v>255.464111328125</v>
      </c>
      <c r="C130">
        <f t="shared" si="51"/>
        <v>4.9239187745095901E-4</v>
      </c>
      <c r="J130">
        <v>258.43881225585938</v>
      </c>
      <c r="K130">
        <f t="shared" ca="1" si="52"/>
        <v>252.95265882877021</v>
      </c>
      <c r="L130">
        <f t="shared" ca="1" si="53"/>
        <v>5.4861534270891639</v>
      </c>
      <c r="M130">
        <f t="shared" ca="1" si="54"/>
        <v>30.097879425562176</v>
      </c>
      <c r="N130">
        <f t="shared" ca="1" si="55"/>
        <v>2.1228055411652978E-2</v>
      </c>
      <c r="O130">
        <f ca="1">+$J129+$J129*$F$5*$G$10+$J129*$G$5*L$23</f>
        <v>254.10506086222247</v>
      </c>
      <c r="P130">
        <f ca="1">+$J129+$J129*$F$5*$G$10+$J129*$G$5*M$23</f>
        <v>252.79047252616886</v>
      </c>
      <c r="Q130">
        <f ca="1">+$J129+$J129*$F$5*$G$10+$J129*$G$5*N$23</f>
        <v>253.02562631449226</v>
      </c>
      <c r="R130">
        <f ca="1">+$J129+$J129*$F$5*$G$10+$J129*$G$5*O$23</f>
        <v>252.6756459231793</v>
      </c>
      <c r="S130">
        <f ca="1">+$J129+$J129*$F$5*$G$10+$J129*$G$5*P$23</f>
        <v>251.35730830843437</v>
      </c>
      <c r="T130">
        <f ca="1">+$J129+$J129*$F$5*$G$10+$J129*$G$5*Q$23</f>
        <v>251.41237532287241</v>
      </c>
      <c r="U130">
        <f ca="1">+$J129+$J129*$F$5*$G$10+$J129*$G$5*R$23</f>
        <v>253.8304686893637</v>
      </c>
      <c r="V130">
        <f ca="1">+$J129+$J129*$F$5*$G$10+$J129*$G$5*S$23</f>
        <v>255.91427892265071</v>
      </c>
      <c r="W130">
        <f ca="1">+$J129+$J129*$F$5*$G$10+$J129*$G$5*T$23</f>
        <v>254.54859505182597</v>
      </c>
      <c r="X130">
        <f ca="1">+$J129+$J129*$F$5*$G$10+$J129*$G$5*U$23</f>
        <v>249.86675636649196</v>
      </c>
    </row>
    <row r="131" spans="1:24">
      <c r="A131" s="2">
        <v>46118</v>
      </c>
      <c r="B131">
        <v>258.39886474609381</v>
      </c>
      <c r="C131">
        <f t="shared" si="51"/>
        <v>4.9607040484874552E-3</v>
      </c>
      <c r="J131">
        <v>260.02597045898438</v>
      </c>
      <c r="K131">
        <f t="shared" ca="1" si="52"/>
        <v>258.34101514034626</v>
      </c>
      <c r="L131">
        <f t="shared" ca="1" si="53"/>
        <v>1.6849553186381172</v>
      </c>
      <c r="M131">
        <f t="shared" ca="1" si="54"/>
        <v>2.8390744258068792</v>
      </c>
      <c r="N131">
        <f t="shared" ca="1" si="55"/>
        <v>6.47995012061265E-3</v>
      </c>
      <c r="O131">
        <f ca="1">+$J130+$J130*$F$5*$G$10+$J130*$G$5*L$23</f>
        <v>259.51796545409405</v>
      </c>
      <c r="P131">
        <f ca="1">+$J130+$J130*$F$5*$G$10+$J130*$G$5*M$23</f>
        <v>258.17537397156042</v>
      </c>
      <c r="Q131">
        <f ca="1">+$J130+$J130*$F$5*$G$10+$J130*$G$5*N$23</f>
        <v>258.41553696755676</v>
      </c>
      <c r="R131">
        <f ca="1">+$J130+$J130*$F$5*$G$10+$J130*$G$5*O$23</f>
        <v>258.05810135098864</v>
      </c>
      <c r="S131">
        <f ca="1">+$J130+$J130*$F$5*$G$10+$J130*$G$5*P$23</f>
        <v>256.71168072324002</v>
      </c>
      <c r="T131">
        <f ca="1">+$J130+$J130*$F$5*$G$10+$J130*$G$5*Q$23</f>
        <v>256.76792076624469</v>
      </c>
      <c r="U131">
        <f ca="1">+$J130+$J130*$F$5*$G$10+$J130*$G$5*R$23</f>
        <v>259.23752396352268</v>
      </c>
      <c r="V131">
        <f ca="1">+$J130+$J130*$F$5*$G$10+$J130*$G$5*S$23</f>
        <v>261.36572318277507</v>
      </c>
      <c r="W131">
        <f ca="1">+$J130+$J130*$F$5*$G$10+$J130*$G$5*T$23</f>
        <v>259.97094773671631</v>
      </c>
      <c r="X131">
        <f ca="1">+$J130+$J130*$F$5*$G$10+$J130*$G$5*U$23</f>
        <v>255.18937728676389</v>
      </c>
    </row>
    <row r="132" spans="1:24">
      <c r="A132" s="2">
        <v>46119</v>
      </c>
      <c r="B132">
        <v>253.04841613769531</v>
      </c>
      <c r="C132">
        <f t="shared" si="51"/>
        <v>-9.0869779418059956E-3</v>
      </c>
      <c r="J132">
        <v>260.0159912109375</v>
      </c>
      <c r="K132">
        <f t="shared" ca="1" si="52"/>
        <v>259.9275727390467</v>
      </c>
      <c r="L132">
        <f t="shared" ca="1" si="53"/>
        <v>8.841847189080454E-2</v>
      </c>
      <c r="M132">
        <f t="shared" ca="1" si="54"/>
        <v>7.8178261715049924E-3</v>
      </c>
      <c r="N132">
        <f t="shared" ca="1" si="55"/>
        <v>3.4005013106703586E-4</v>
      </c>
      <c r="O132">
        <f ca="1">+$J131+$J131*$F$5*$G$10+$J131*$G$5*L$23</f>
        <v>261.11175109384925</v>
      </c>
      <c r="P132">
        <f ca="1">+$J131+$J131*$F$5*$G$10+$J131*$G$5*M$23</f>
        <v>259.76091431307128</v>
      </c>
      <c r="Q132">
        <f ca="1">+$J131+$J131*$F$5*$G$10+$J131*$G$5*N$23</f>
        <v>260.00255222943991</v>
      </c>
      <c r="R132">
        <f ca="1">+$J131+$J131*$F$5*$G$10+$J131*$G$5*O$23</f>
        <v>259.64292148255851</v>
      </c>
      <c r="S132">
        <f ca="1">+$J131+$J131*$F$5*$G$10+$J131*$G$5*P$23</f>
        <v>258.28823204051866</v>
      </c>
      <c r="T132">
        <f ca="1">+$J131+$J131*$F$5*$G$10+$J131*$G$5*Q$23</f>
        <v>258.34481747222412</v>
      </c>
      <c r="U132">
        <f ca="1">+$J131+$J131*$F$5*$G$10+$J131*$G$5*R$23</f>
        <v>260.82958731935167</v>
      </c>
      <c r="V132">
        <f ca="1">+$J131+$J131*$F$5*$G$10+$J131*$G$5*S$23</f>
        <v>262.97085651373374</v>
      </c>
      <c r="W132">
        <f ca="1">+$J131+$J131*$F$5*$G$10+$J131*$G$5*T$23</f>
        <v>261.56751529045511</v>
      </c>
      <c r="X132">
        <f ca="1">+$J131+$J131*$F$5*$G$10+$J131*$G$5*U$23</f>
        <v>256.75657963526436</v>
      </c>
    </row>
    <row r="133" spans="1:24">
      <c r="A133" s="2">
        <v>46120</v>
      </c>
      <c r="B133">
        <v>258.43881225585938</v>
      </c>
      <c r="C133">
        <f t="shared" si="51"/>
        <v>9.1541130748022843E-3</v>
      </c>
      <c r="J133">
        <v>258.73828125</v>
      </c>
      <c r="K133">
        <f t="shared" ca="1" si="52"/>
        <v>259.91759726729669</v>
      </c>
      <c r="L133">
        <f t="shared" ca="1" si="53"/>
        <v>-1.179316017296685</v>
      </c>
      <c r="M133">
        <f t="shared" ca="1" si="54"/>
        <v>1.390786268652515</v>
      </c>
      <c r="N133">
        <f t="shared" ca="1" si="55"/>
        <v>4.5579494908880441E-3</v>
      </c>
      <c r="O133">
        <f ca="1">+$J132+$J132*$F$5*$G$10+$J132*$G$5*L$23</f>
        <v>261.10173017583281</v>
      </c>
      <c r="P133">
        <f ca="1">+$J132+$J132*$F$5*$G$10+$J132*$G$5*M$23</f>
        <v>259.75094523732002</v>
      </c>
      <c r="Q133">
        <f ca="1">+$J132+$J132*$F$5*$G$10+$J132*$G$5*N$23</f>
        <v>259.9925738801353</v>
      </c>
      <c r="R133">
        <f ca="1">+$J132+$J132*$F$5*$G$10+$J132*$G$5*O$23</f>
        <v>259.63295693512305</v>
      </c>
      <c r="S133">
        <f ca="1">+$J132+$J132*$F$5*$G$10+$J132*$G$5*P$23</f>
        <v>258.27831948320539</v>
      </c>
      <c r="T133">
        <f ca="1">+$J132+$J132*$F$5*$G$10+$J132*$G$5*Q$23</f>
        <v>258.33490274328136</v>
      </c>
      <c r="U133">
        <f ca="1">+$J132+$J132*$F$5*$G$10+$J132*$G$5*R$23</f>
        <v>260.81957723018547</v>
      </c>
      <c r="V133">
        <f ca="1">+$J132+$J132*$F$5*$G$10+$J132*$G$5*S$23</f>
        <v>262.96076424717432</v>
      </c>
      <c r="W133">
        <f ca="1">+$J132+$J132*$F$5*$G$10+$J132*$G$5*T$23</f>
        <v>261.55747688117054</v>
      </c>
      <c r="X133">
        <f ca="1">+$J132+$J132*$F$5*$G$10+$J132*$G$5*U$23</f>
        <v>256.74672585953834</v>
      </c>
    </row>
    <row r="134" spans="1:24">
      <c r="A134" s="2">
        <v>46121</v>
      </c>
      <c r="B134">
        <v>260.02597045898438</v>
      </c>
      <c r="C134">
        <f t="shared" ref="C134:C197" si="56">+LOG(B134/B133)</f>
        <v>2.6589894848072877E-3</v>
      </c>
      <c r="J134">
        <v>258.36892700195313</v>
      </c>
      <c r="K134">
        <f t="shared" ref="K134:K197" ca="1" si="57">+AVERAGE(O134:X134)</f>
        <v>258.64037081093636</v>
      </c>
      <c r="L134">
        <f t="shared" ref="L134:L197" ca="1" si="58">+J134-K134</f>
        <v>-0.27144380898323561</v>
      </c>
      <c r="M134">
        <f t="shared" ref="M134:M197" ca="1" si="59">+L134*L134</f>
        <v>7.3681741435327297E-2</v>
      </c>
      <c r="N134">
        <f t="shared" ref="N134:N197" ca="1" si="60">+ABS((J134-K134)/J134)</f>
        <v>1.0506054738586412E-3</v>
      </c>
      <c r="O134">
        <f ca="1">+$J133+$J133*$F$5*$G$10+$J133*$G$5*L$23</f>
        <v>259.81868492961547</v>
      </c>
      <c r="P134">
        <f ca="1">+$J133+$J133*$F$5*$G$10+$J133*$G$5*M$23</f>
        <v>258.47453770351024</v>
      </c>
      <c r="Q134">
        <f ca="1">+$J133+$J133*$F$5*$G$10+$J133*$G$5*N$23</f>
        <v>258.71497899118503</v>
      </c>
      <c r="R134">
        <f ca="1">+$J133+$J133*$F$5*$G$10+$J133*$G$5*O$23</f>
        <v>258.35712919191883</v>
      </c>
      <c r="S134">
        <f ca="1">+$J133+$J133*$F$5*$G$10+$J133*$G$5*P$23</f>
        <v>257.00914838353185</v>
      </c>
      <c r="T134">
        <f ca="1">+$J133+$J133*$F$5*$G$10+$J133*$G$5*Q$23</f>
        <v>257.06545359534363</v>
      </c>
      <c r="U134">
        <f ca="1">+$J133+$J133*$F$5*$G$10+$J133*$G$5*R$23</f>
        <v>259.53791847418933</v>
      </c>
      <c r="V134">
        <f ca="1">+$J133+$J133*$F$5*$G$10+$J133*$G$5*S$23</f>
        <v>261.66858376915985</v>
      </c>
      <c r="W134">
        <f ca="1">+$J133+$J133*$F$5*$G$10+$J133*$G$5*T$23</f>
        <v>260.2721921107518</v>
      </c>
      <c r="X134">
        <f ca="1">+$J133+$J133*$F$5*$G$10+$J133*$G$5*U$23</f>
        <v>255.48508096015712</v>
      </c>
    </row>
    <row r="135" spans="1:24">
      <c r="A135" s="2">
        <v>46122</v>
      </c>
      <c r="B135">
        <v>260.0159912109375</v>
      </c>
      <c r="C135">
        <f t="shared" si="56"/>
        <v>-1.6667625615910298E-5</v>
      </c>
      <c r="J135">
        <v>265.95538330078119</v>
      </c>
      <c r="K135">
        <f t="shared" ca="1" si="57"/>
        <v>258.27115633206631</v>
      </c>
      <c r="L135">
        <f t="shared" ca="1" si="58"/>
        <v>7.6842269687148814</v>
      </c>
      <c r="M135">
        <f t="shared" ca="1" si="59"/>
        <v>59.047344106725092</v>
      </c>
      <c r="N135">
        <f t="shared" ca="1" si="60"/>
        <v>2.8892917576420835E-2</v>
      </c>
      <c r="O135">
        <f ca="1">+$J134+$J134*$F$5*$G$10+$J134*$G$5*L$23</f>
        <v>259.44778838296963</v>
      </c>
      <c r="P135">
        <f ca="1">+$J134+$J134*$F$5*$G$10+$J134*$G$5*M$23</f>
        <v>258.10555995483105</v>
      </c>
      <c r="Q135">
        <f ca="1">+$J134+$J134*$F$5*$G$10+$J134*$G$5*N$23</f>
        <v>258.34565800759458</v>
      </c>
      <c r="R135">
        <f ca="1">+$J134+$J134*$F$5*$G$10+$J134*$G$5*O$23</f>
        <v>257.98831904631834</v>
      </c>
      <c r="S135">
        <f ca="1">+$J134+$J134*$F$5*$G$10+$J134*$G$5*P$23</f>
        <v>256.64226250841602</v>
      </c>
      <c r="T135">
        <f ca="1">+$J134+$J134*$F$5*$G$10+$J134*$G$5*Q$23</f>
        <v>256.69848734337336</v>
      </c>
      <c r="U135">
        <f ca="1">+$J134+$J134*$F$5*$G$10+$J134*$G$5*R$23</f>
        <v>259.16742272746575</v>
      </c>
      <c r="V135">
        <f ca="1">+$J134+$J134*$F$5*$G$10+$J134*$G$5*S$23</f>
        <v>261.29504645365853</v>
      </c>
      <c r="W135">
        <f ca="1">+$J134+$J134*$F$5*$G$10+$J134*$G$5*T$23</f>
        <v>259.90064817322485</v>
      </c>
      <c r="X135">
        <f ca="1">+$J134+$J134*$F$5*$G$10+$J134*$G$5*U$23</f>
        <v>255.12037072281092</v>
      </c>
    </row>
    <row r="136" spans="1:24">
      <c r="A136" s="2">
        <v>46125</v>
      </c>
      <c r="B136">
        <v>258.73828125</v>
      </c>
      <c r="C136">
        <f t="shared" si="56"/>
        <v>-2.1393693973543668E-3</v>
      </c>
      <c r="J136">
        <v>262.9307861328125</v>
      </c>
      <c r="K136">
        <f t="shared" ca="1" si="57"/>
        <v>265.85474180225793</v>
      </c>
      <c r="L136">
        <f t="shared" ca="1" si="58"/>
        <v>-2.9239556694454336</v>
      </c>
      <c r="M136">
        <f t="shared" ca="1" si="59"/>
        <v>8.5495167568820936</v>
      </c>
      <c r="N136">
        <f t="shared" ca="1" si="60"/>
        <v>1.1120628787716304E-2</v>
      </c>
      <c r="O136">
        <f ca="1">+$J135+$J135*$F$5*$G$10+$J135*$G$5*L$23</f>
        <v>267.06592316115103</v>
      </c>
      <c r="P136">
        <f ca="1">+$J135+$J135*$F$5*$G$10+$J135*$G$5*M$23</f>
        <v>265.68428303814932</v>
      </c>
      <c r="Q136">
        <f ca="1">+$J135+$J135*$F$5*$G$10+$J135*$G$5*N$23</f>
        <v>265.93143106168861</v>
      </c>
      <c r="R136">
        <f ca="1">+$J135+$J135*$F$5*$G$10+$J135*$G$5*O$23</f>
        <v>265.56359959868217</v>
      </c>
      <c r="S136">
        <f ca="1">+$J135+$J135*$F$5*$G$10+$J135*$G$5*P$23</f>
        <v>264.1780189615817</v>
      </c>
      <c r="T136">
        <f ca="1">+$J135+$J135*$F$5*$G$10+$J135*$G$5*Q$23</f>
        <v>264.23589471972963</v>
      </c>
      <c r="U136">
        <f ca="1">+$J135+$J135*$F$5*$G$10+$J135*$G$5*R$23</f>
        <v>266.77732516200643</v>
      </c>
      <c r="V136">
        <f ca="1">+$J135+$J135*$F$5*$G$10+$J135*$G$5*S$23</f>
        <v>268.96742205247017</v>
      </c>
      <c r="W136">
        <f ca="1">+$J135+$J135*$F$5*$G$10+$J135*$G$5*T$23</f>
        <v>267.53208021995994</v>
      </c>
      <c r="X136">
        <f ca="1">+$J135+$J135*$F$5*$G$10+$J135*$G$5*U$23</f>
        <v>262.61144004716039</v>
      </c>
    </row>
    <row r="137" spans="1:24">
      <c r="A137" s="2">
        <v>46126</v>
      </c>
      <c r="B137">
        <v>258.36892700195313</v>
      </c>
      <c r="C137">
        <f t="shared" si="56"/>
        <v>-6.20407283107541E-4</v>
      </c>
      <c r="J137">
        <v>269.74862670898438</v>
      </c>
      <c r="K137">
        <f t="shared" ca="1" si="57"/>
        <v>262.83128918713726</v>
      </c>
      <c r="L137">
        <f t="shared" ca="1" si="58"/>
        <v>6.9173375218471165</v>
      </c>
      <c r="M137">
        <f t="shared" ca="1" si="59"/>
        <v>47.849558391154005</v>
      </c>
      <c r="N137">
        <f t="shared" ca="1" si="60"/>
        <v>2.5643643143769615E-2</v>
      </c>
      <c r="O137">
        <f ca="1">+$J136+$J136*$F$5*$G$10+$J136*$G$5*L$23</f>
        <v>264.02869629689684</v>
      </c>
      <c r="P137">
        <f ca="1">+$J136+$J136*$F$5*$G$10+$J136*$G$5*M$23</f>
        <v>262.66276897786742</v>
      </c>
      <c r="Q137">
        <f ca="1">+$J136+$J136*$F$5*$G$10+$J136*$G$5*N$23</f>
        <v>262.9071062923216</v>
      </c>
      <c r="R137">
        <f ca="1">+$J136+$J136*$F$5*$G$10+$J136*$G$5*O$23</f>
        <v>262.54345801969657</v>
      </c>
      <c r="S137">
        <f ca="1">+$J136+$J136*$F$5*$G$10+$J136*$G$5*P$23</f>
        <v>261.17363500035498</v>
      </c>
      <c r="T137">
        <f ca="1">+$J136+$J136*$F$5*$G$10+$J136*$G$5*Q$23</f>
        <v>261.23085256218434</v>
      </c>
      <c r="U137">
        <f ca="1">+$J136+$J136*$F$5*$G$10+$J136*$G$5*R$23</f>
        <v>263.74338039973514</v>
      </c>
      <c r="V137">
        <f ca="1">+$J136+$J136*$F$5*$G$10+$J136*$G$5*S$23</f>
        <v>265.90857025214513</v>
      </c>
      <c r="W137">
        <f ca="1">+$J136+$J136*$F$5*$G$10+$J136*$G$5*T$23</f>
        <v>264.48955195025042</v>
      </c>
      <c r="X137">
        <f ca="1">+$J136+$J136*$F$5*$G$10+$J136*$G$5*U$23</f>
        <v>259.62487211992084</v>
      </c>
    </row>
    <row r="138" spans="1:24">
      <c r="A138" s="2">
        <v>46127</v>
      </c>
      <c r="B138">
        <v>265.95538330078119</v>
      </c>
      <c r="C138">
        <f t="shared" si="56"/>
        <v>1.2568503857687834E-2</v>
      </c>
      <c r="J138">
        <v>272.56356811523438</v>
      </c>
      <c r="K138">
        <f t="shared" ca="1" si="57"/>
        <v>269.64654979036874</v>
      </c>
      <c r="L138">
        <f t="shared" ca="1" si="58"/>
        <v>2.9170183248656372</v>
      </c>
      <c r="M138">
        <f t="shared" ca="1" si="59"/>
        <v>8.5089959076019284</v>
      </c>
      <c r="N138">
        <f t="shared" ca="1" si="60"/>
        <v>1.0702157830691374E-2</v>
      </c>
      <c r="O138">
        <f ca="1">+$J137+$J137*$F$5*$G$10+$J137*$G$5*L$23</f>
        <v>270.87500587274644</v>
      </c>
      <c r="P138">
        <f ca="1">+$J137+$J137*$F$5*$G$10+$J137*$G$5*M$23</f>
        <v>269.47365982304365</v>
      </c>
      <c r="Q138">
        <f ca="1">+$J137+$J137*$F$5*$G$10+$J137*$G$5*N$23</f>
        <v>269.72433284615056</v>
      </c>
      <c r="R138">
        <f ca="1">+$J137+$J137*$F$5*$G$10+$J137*$G$5*O$23</f>
        <v>269.35125511117525</v>
      </c>
      <c r="S138">
        <f ca="1">+$J137+$J137*$F$5*$G$10+$J137*$G$5*P$23</f>
        <v>267.94591234498012</v>
      </c>
      <c r="T138">
        <f ca="1">+$J137+$J137*$F$5*$G$10+$J137*$G$5*Q$23</f>
        <v>268.00461356804385</v>
      </c>
      <c r="U138">
        <f ca="1">+$J137+$J137*$F$5*$G$10+$J137*$G$5*R$23</f>
        <v>270.58229168522359</v>
      </c>
      <c r="V138">
        <f ca="1">+$J137+$J137*$F$5*$G$10+$J137*$G$5*S$23</f>
        <v>272.80362528347632</v>
      </c>
      <c r="W138">
        <f ca="1">+$J137+$J137*$F$5*$G$10+$J137*$G$5*T$23</f>
        <v>271.34781159257727</v>
      </c>
      <c r="X138">
        <f ca="1">+$J137+$J137*$F$5*$G$10+$J137*$G$5*U$23</f>
        <v>266.35698977627061</v>
      </c>
    </row>
    <row r="139" spans="1:24">
      <c r="A139" s="2">
        <v>46128</v>
      </c>
      <c r="B139">
        <v>262.9307861328125</v>
      </c>
      <c r="C139">
        <f t="shared" si="56"/>
        <v>-4.9673455505890741E-3</v>
      </c>
      <c r="J139">
        <v>265.69586181640619</v>
      </c>
      <c r="K139">
        <f t="shared" ca="1" si="57"/>
        <v>272.46042598064957</v>
      </c>
      <c r="L139">
        <f t="shared" ca="1" si="58"/>
        <v>-6.7645641642433816</v>
      </c>
      <c r="M139">
        <f t="shared" ca="1" si="59"/>
        <v>45.759328332165758</v>
      </c>
      <c r="N139">
        <f t="shared" ca="1" si="60"/>
        <v>2.5459802489952377E-2</v>
      </c>
      <c r="O139">
        <f ca="1">+$J138+$J138*$F$5*$G$10+$J138*$G$5*L$23</f>
        <v>273.70170152362743</v>
      </c>
      <c r="P139">
        <f ca="1">+$J138+$J138*$F$5*$G$10+$J138*$G$5*M$23</f>
        <v>272.28573183313756</v>
      </c>
      <c r="Q139">
        <f ca="1">+$J138+$J138*$F$5*$G$10+$J138*$G$5*N$23</f>
        <v>272.53902073563108</v>
      </c>
      <c r="R139">
        <f ca="1">+$J138+$J138*$F$5*$G$10+$J138*$G$5*O$23</f>
        <v>272.1620497761499</v>
      </c>
      <c r="S139">
        <f ca="1">+$J138+$J138*$F$5*$G$10+$J138*$G$5*P$23</f>
        <v>270.74204166173485</v>
      </c>
      <c r="T139">
        <f ca="1">+$J138+$J138*$F$5*$G$10+$J138*$G$5*Q$23</f>
        <v>270.80135545697516</v>
      </c>
      <c r="U139">
        <f ca="1">+$J138+$J138*$F$5*$G$10+$J138*$G$5*R$23</f>
        <v>273.40593273932421</v>
      </c>
      <c r="V139">
        <f ca="1">+$J138+$J138*$F$5*$G$10+$J138*$G$5*S$23</f>
        <v>275.65044689645168</v>
      </c>
      <c r="W139">
        <f ca="1">+$J138+$J138*$F$5*$G$10+$J138*$G$5*T$23</f>
        <v>274.17944117181258</v>
      </c>
      <c r="X139">
        <f ca="1">+$J138+$J138*$F$5*$G$10+$J138*$G$5*U$23</f>
        <v>269.13653801165134</v>
      </c>
    </row>
    <row r="140" spans="1:24">
      <c r="A140" s="2">
        <v>46129</v>
      </c>
      <c r="B140">
        <v>269.74862670898438</v>
      </c>
      <c r="C140">
        <f t="shared" si="56"/>
        <v>1.1117802456748564E-2</v>
      </c>
      <c r="J140">
        <v>272.68341064453119</v>
      </c>
      <c r="K140">
        <f t="shared" ca="1" si="57"/>
        <v>265.5953185246978</v>
      </c>
      <c r="L140">
        <f t="shared" ca="1" si="58"/>
        <v>7.0880921198333908</v>
      </c>
      <c r="M140">
        <f t="shared" ca="1" si="59"/>
        <v>50.24104989924421</v>
      </c>
      <c r="N140">
        <f t="shared" ca="1" si="60"/>
        <v>2.5993851635783573E-2</v>
      </c>
      <c r="O140">
        <f ca="1">+$J139+$J139*$F$5*$G$10+$J139*$G$5*L$23</f>
        <v>266.80531800270472</v>
      </c>
      <c r="P140">
        <f ca="1">+$J139+$J139*$F$5*$G$10+$J139*$G$5*M$23</f>
        <v>265.42502609567492</v>
      </c>
      <c r="Q140">
        <f ca="1">+$J139+$J139*$F$5*$G$10+$J139*$G$5*N$23</f>
        <v>265.67193295010861</v>
      </c>
      <c r="R140">
        <f ca="1">+$J139+$J139*$F$5*$G$10+$J139*$G$5*O$23</f>
        <v>265.30446042011602</v>
      </c>
      <c r="S140">
        <f ca="1">+$J139+$J139*$F$5*$G$10+$J139*$G$5*P$23</f>
        <v>263.92023184417405</v>
      </c>
      <c r="T140">
        <f ca="1">+$J139+$J139*$F$5*$G$10+$J139*$G$5*Q$23</f>
        <v>263.97805112667379</v>
      </c>
      <c r="U140">
        <f ca="1">+$J139+$J139*$F$5*$G$10+$J139*$G$5*R$23</f>
        <v>266.51700161989817</v>
      </c>
      <c r="V140">
        <f ca="1">+$J139+$J139*$F$5*$G$10+$J139*$G$5*S$23</f>
        <v>268.7049613955237</v>
      </c>
      <c r="W140">
        <f ca="1">+$J139+$J139*$F$5*$G$10+$J139*$G$5*T$23</f>
        <v>267.27102018156211</v>
      </c>
      <c r="X140">
        <f ca="1">+$J139+$J139*$F$5*$G$10+$J139*$G$5*U$23</f>
        <v>262.3551816105421</v>
      </c>
    </row>
    <row r="141" spans="1:24">
      <c r="A141" s="2">
        <v>46132</v>
      </c>
      <c r="B141">
        <v>272.56356811523438</v>
      </c>
      <c r="C141">
        <f t="shared" si="56"/>
        <v>4.5085635569453268E-3</v>
      </c>
      <c r="J141">
        <v>272.94290161132813</v>
      </c>
      <c r="K141">
        <f t="shared" ca="1" si="57"/>
        <v>272.58022315973921</v>
      </c>
      <c r="L141">
        <f t="shared" ca="1" si="58"/>
        <v>0.36267845158891987</v>
      </c>
      <c r="M141">
        <f t="shared" ca="1" si="59"/>
        <v>0.1315356592469365</v>
      </c>
      <c r="N141">
        <f t="shared" ca="1" si="60"/>
        <v>1.3287704111293415E-3</v>
      </c>
      <c r="O141">
        <f ca="1">+$J140+$J140*$F$5*$G$10+$J140*$G$5*L$23</f>
        <v>273.82204447485253</v>
      </c>
      <c r="P141">
        <f ca="1">+$J140+$J140*$F$5*$G$10+$J140*$G$5*M$23</f>
        <v>272.40545220156378</v>
      </c>
      <c r="Q141">
        <f ca="1">+$J140+$J140*$F$5*$G$10+$J140*$G$5*N$23</f>
        <v>272.65885247177573</v>
      </c>
      <c r="R141">
        <f ca="1">+$J140+$J140*$F$5*$G$10+$J140*$G$5*O$23</f>
        <v>272.28171576324172</v>
      </c>
      <c r="S141">
        <f ca="1">+$J140+$J140*$F$5*$G$10+$J140*$G$5*P$23</f>
        <v>270.86108329038717</v>
      </c>
      <c r="T141">
        <f ca="1">+$J140+$J140*$F$5*$G$10+$J140*$G$5*Q$23</f>
        <v>270.9204231651043</v>
      </c>
      <c r="U141">
        <f ca="1">+$J140+$J140*$F$5*$G$10+$J140*$G$5*R$23</f>
        <v>273.52614564499908</v>
      </c>
      <c r="V141">
        <f ca="1">+$J140+$J140*$F$5*$G$10+$J140*$G$5*S$23</f>
        <v>275.77164668476644</v>
      </c>
      <c r="W141">
        <f ca="1">+$J140+$J140*$F$5*$G$10+$J140*$G$5*T$23</f>
        <v>274.29999417872551</v>
      </c>
      <c r="X141">
        <f ca="1">+$J140+$J140*$F$5*$G$10+$J140*$G$5*U$23</f>
        <v>269.25487372197586</v>
      </c>
    </row>
    <row r="142" spans="1:24">
      <c r="A142" s="2">
        <v>46133</v>
      </c>
      <c r="B142">
        <v>265.69586181640619</v>
      </c>
      <c r="C142">
        <f t="shared" si="56"/>
        <v>-1.1083015548555022E-2</v>
      </c>
      <c r="J142">
        <v>270.57711791992188</v>
      </c>
      <c r="K142">
        <f t="shared" ca="1" si="57"/>
        <v>272.83961593126958</v>
      </c>
      <c r="L142">
        <f t="shared" ca="1" si="58"/>
        <v>-2.2624980113477022</v>
      </c>
      <c r="M142">
        <f t="shared" ca="1" si="59"/>
        <v>5.1188972513523074</v>
      </c>
      <c r="N142">
        <f t="shared" ca="1" si="60"/>
        <v>8.3617492445066822E-3</v>
      </c>
      <c r="O142">
        <f ca="1">+$J141+$J141*$F$5*$G$10+$J141*$G$5*L$23</f>
        <v>274.08261898828971</v>
      </c>
      <c r="P142">
        <f ca="1">+$J141+$J141*$F$5*$G$10+$J141*$G$5*M$23</f>
        <v>272.66467865756806</v>
      </c>
      <c r="Q142">
        <f ca="1">+$J141+$J141*$F$5*$G$10+$J141*$G$5*N$23</f>
        <v>272.91832006852616</v>
      </c>
      <c r="R142">
        <f ca="1">+$J141+$J141*$F$5*$G$10+$J141*$G$5*O$23</f>
        <v>272.54082446918585</v>
      </c>
      <c r="S142">
        <f ca="1">+$J141+$J141*$F$5*$G$10+$J141*$G$5*P$23</f>
        <v>271.11884009416394</v>
      </c>
      <c r="T142">
        <f ca="1">+$J141+$J141*$F$5*$G$10+$J141*$G$5*Q$23</f>
        <v>271.17823643788819</v>
      </c>
      <c r="U142">
        <f ca="1">+$J141+$J141*$F$5*$G$10+$J141*$G$5*R$23</f>
        <v>273.78643857521394</v>
      </c>
      <c r="V142">
        <f ca="1">+$J141+$J141*$F$5*$G$10+$J141*$G$5*S$23</f>
        <v>276.03407647851247</v>
      </c>
      <c r="W142">
        <f ca="1">+$J141+$J141*$F$5*$G$10+$J141*$G$5*T$23</f>
        <v>274.5610235186241</v>
      </c>
      <c r="X142">
        <f ca="1">+$J141+$J141*$F$5*$G$10+$J141*$G$5*U$23</f>
        <v>269.51110202472353</v>
      </c>
    </row>
    <row r="143" spans="1:24">
      <c r="A143" s="2">
        <v>46134</v>
      </c>
      <c r="B143">
        <v>272.68341064453119</v>
      </c>
      <c r="C143">
        <f t="shared" si="56"/>
        <v>1.1273927014501871E-2</v>
      </c>
      <c r="J143">
        <v>267.13327026367188</v>
      </c>
      <c r="K143">
        <f t="shared" ca="1" si="57"/>
        <v>270.47472748782911</v>
      </c>
      <c r="L143">
        <f t="shared" ca="1" si="58"/>
        <v>-3.3414572241572387</v>
      </c>
      <c r="M143">
        <f t="shared" ca="1" si="59"/>
        <v>11.165336380872599</v>
      </c>
      <c r="N143">
        <f t="shared" ca="1" si="60"/>
        <v>1.2508577538316655E-2</v>
      </c>
      <c r="O143">
        <f ca="1">+$J142+$J142*$F$5*$G$10+$J142*$G$5*L$23</f>
        <v>271.70695658317709</v>
      </c>
      <c r="P143">
        <f ca="1">+$J142+$J142*$F$5*$G$10+$J142*$G$5*M$23</f>
        <v>270.30130651569362</v>
      </c>
      <c r="Q143">
        <f ca="1">+$J142+$J142*$F$5*$G$10+$J142*$G$5*N$23</f>
        <v>270.55274944224357</v>
      </c>
      <c r="R143">
        <f ca="1">+$J142+$J142*$F$5*$G$10+$J142*$G$5*O$23</f>
        <v>270.17852585667322</v>
      </c>
      <c r="S143">
        <f ca="1">+$J142+$J142*$F$5*$G$10+$J142*$G$5*P$23</f>
        <v>268.76886679740051</v>
      </c>
      <c r="T143">
        <f ca="1">+$J142+$J142*$F$5*$G$10+$J142*$G$5*Q$23</f>
        <v>268.82774831219723</v>
      </c>
      <c r="U143">
        <f ca="1">+$J142+$J142*$F$5*$G$10+$J142*$G$5*R$23</f>
        <v>271.41334336927309</v>
      </c>
      <c r="V143">
        <f ca="1">+$J142+$J142*$F$5*$G$10+$J142*$G$5*S$23</f>
        <v>273.64149945031346</v>
      </c>
      <c r="W143">
        <f ca="1">+$J142+$J142*$F$5*$G$10+$J142*$G$5*T$23</f>
        <v>272.18121445269304</v>
      </c>
      <c r="X143">
        <f ca="1">+$J142+$J142*$F$5*$G$10+$J142*$G$5*U$23</f>
        <v>267.17506409862665</v>
      </c>
    </row>
    <row r="144" spans="1:24">
      <c r="A144" s="2">
        <v>46135</v>
      </c>
      <c r="B144">
        <v>272.94290161132813</v>
      </c>
      <c r="C144">
        <f t="shared" si="56"/>
        <v>4.130867626753453E-4</v>
      </c>
      <c r="J144">
        <v>270.22775268554688</v>
      </c>
      <c r="K144">
        <f t="shared" ca="1" si="57"/>
        <v>267.03218303508839</v>
      </c>
      <c r="L144">
        <f t="shared" ca="1" si="58"/>
        <v>3.1955696504584807</v>
      </c>
      <c r="M144">
        <f t="shared" ca="1" si="59"/>
        <v>10.211665390931337</v>
      </c>
      <c r="N144">
        <f t="shared" ca="1" si="60"/>
        <v>1.1825468030950307E-2</v>
      </c>
      <c r="O144">
        <f ca="1">+$J143+$J143*$F$5*$G$10+$J143*$G$5*L$23</f>
        <v>268.24872858219464</v>
      </c>
      <c r="P144">
        <f ca="1">+$J143+$J143*$F$5*$G$10+$J143*$G$5*M$23</f>
        <v>266.86096932797591</v>
      </c>
      <c r="Q144">
        <f ca="1">+$J143+$J143*$F$5*$G$10+$J143*$G$5*N$23</f>
        <v>267.10921194276284</v>
      </c>
      <c r="R144">
        <f ca="1">+$J143+$J143*$F$5*$G$10+$J143*$G$5*O$23</f>
        <v>266.73975139490977</v>
      </c>
      <c r="S144">
        <f ca="1">+$J143+$J143*$F$5*$G$10+$J143*$G$5*P$23</f>
        <v>265.34803417449137</v>
      </c>
      <c r="T144">
        <f ca="1">+$J143+$J143*$F$5*$G$10+$J143*$G$5*Q$23</f>
        <v>265.40616625796781</v>
      </c>
      <c r="U144">
        <f ca="1">+$J143+$J143*$F$5*$G$10+$J143*$G$5*R$23</f>
        <v>267.95885241444711</v>
      </c>
      <c r="V144">
        <f ca="1">+$J143+$J143*$F$5*$G$10+$J143*$G$5*S$23</f>
        <v>270.15864900168981</v>
      </c>
      <c r="W144">
        <f ca="1">+$J143+$J143*$F$5*$G$10+$J143*$G$5*T$23</f>
        <v>268.71695019903359</v>
      </c>
      <c r="X144">
        <f ca="1">+$J143+$J143*$F$5*$G$10+$J143*$G$5*U$23</f>
        <v>263.77451705541063</v>
      </c>
    </row>
    <row r="145" spans="1:24">
      <c r="A145" s="2">
        <v>46136</v>
      </c>
      <c r="B145">
        <v>270.57711791992188</v>
      </c>
      <c r="C145">
        <f t="shared" si="56"/>
        <v>-3.7807376155341108E-3</v>
      </c>
      <c r="J145">
        <v>269.688720703125</v>
      </c>
      <c r="K145">
        <f t="shared" ca="1" si="57"/>
        <v>270.1254944584889</v>
      </c>
      <c r="L145">
        <f t="shared" ca="1" si="58"/>
        <v>-0.43677375536390173</v>
      </c>
      <c r="M145">
        <f t="shared" ca="1" si="59"/>
        <v>0.19077131337468548</v>
      </c>
      <c r="N145">
        <f t="shared" ca="1" si="60"/>
        <v>1.6195477297869826E-3</v>
      </c>
      <c r="O145">
        <f ca="1">+$J144+$J144*$F$5*$G$10+$J144*$G$5*L$23</f>
        <v>271.35613251757331</v>
      </c>
      <c r="P145">
        <f ca="1">+$J144+$J144*$F$5*$G$10+$J144*$G$5*M$23</f>
        <v>269.95229740498718</v>
      </c>
      <c r="Q145">
        <f ca="1">+$J144+$J144*$F$5*$G$10+$J144*$G$5*N$23</f>
        <v>270.20341567209204</v>
      </c>
      <c r="R145">
        <f ca="1">+$J144+$J144*$F$5*$G$10+$J144*$G$5*O$23</f>
        <v>269.82967527856579</v>
      </c>
      <c r="S145">
        <f ca="1">+$J144+$J144*$F$5*$G$10+$J144*$G$5*P$23</f>
        <v>268.42183635054221</v>
      </c>
      <c r="T145">
        <f ca="1">+$J144+$J144*$F$5*$G$10+$J144*$G$5*Q$23</f>
        <v>268.48064183838449</v>
      </c>
      <c r="U145">
        <f ca="1">+$J144+$J144*$F$5*$G$10+$J144*$G$5*R$23</f>
        <v>271.06289841277538</v>
      </c>
      <c r="V145">
        <f ca="1">+$J144+$J144*$F$5*$G$10+$J144*$G$5*S$23</f>
        <v>273.28817753113151</v>
      </c>
      <c r="W145">
        <f ca="1">+$J144+$J144*$F$5*$G$10+$J144*$G$5*T$23</f>
        <v>271.82977803223457</v>
      </c>
      <c r="X145">
        <f ca="1">+$J144+$J144*$F$5*$G$10+$J144*$G$5*U$23</f>
        <v>266.83009154660317</v>
      </c>
    </row>
    <row r="146" spans="1:24">
      <c r="A146" s="2">
        <v>46139</v>
      </c>
      <c r="B146">
        <v>267.13327026367188</v>
      </c>
      <c r="C146">
        <f t="shared" si="56"/>
        <v>-5.5630856952612875E-3</v>
      </c>
      <c r="J146">
        <v>270.86663818359381</v>
      </c>
      <c r="K146">
        <f t="shared" ca="1" si="57"/>
        <v>269.58666645383886</v>
      </c>
      <c r="L146">
        <f t="shared" ca="1" si="58"/>
        <v>1.2799717297549478</v>
      </c>
      <c r="M146">
        <f t="shared" ca="1" si="59"/>
        <v>1.6383276289718731</v>
      </c>
      <c r="N146">
        <f t="shared" ca="1" si="60"/>
        <v>4.7254683645734956E-3</v>
      </c>
      <c r="O146">
        <f ca="1">+$J145+$J145*$F$5*$G$10+$J145*$G$5*L$23</f>
        <v>270.81484971963852</v>
      </c>
      <c r="P146">
        <f ca="1">+$J145+$J145*$F$5*$G$10+$J145*$G$5*M$23</f>
        <v>269.41381488206565</v>
      </c>
      <c r="Q146">
        <f ca="1">+$J145+$J145*$F$5*$G$10+$J145*$G$5*N$23</f>
        <v>269.66443223549305</v>
      </c>
      <c r="R146">
        <f ca="1">+$J145+$J145*$F$5*$G$10+$J145*$G$5*O$23</f>
        <v>269.29143735394041</v>
      </c>
      <c r="S146">
        <f ca="1">+$J145+$J145*$F$5*$G$10+$J145*$G$5*P$23</f>
        <v>267.88640668746939</v>
      </c>
      <c r="T146">
        <f ca="1">+$J145+$J145*$F$5*$G$10+$J145*$G$5*Q$23</f>
        <v>267.94509487411528</v>
      </c>
      <c r="U146">
        <f ca="1">+$J145+$J145*$F$5*$G$10+$J145*$G$5*R$23</f>
        <v>270.52220053833292</v>
      </c>
      <c r="V146">
        <f ca="1">+$J145+$J145*$F$5*$G$10+$J145*$G$5*S$23</f>
        <v>272.74304082091919</v>
      </c>
      <c r="W146">
        <f ca="1">+$J145+$J145*$F$5*$G$10+$J145*$G$5*T$23</f>
        <v>271.28755043837043</v>
      </c>
      <c r="X146">
        <f ca="1">+$J145+$J145*$F$5*$G$10+$J145*$G$5*U$23</f>
        <v>266.29783698804368</v>
      </c>
    </row>
    <row r="147" spans="1:24">
      <c r="A147" s="2">
        <v>46140</v>
      </c>
      <c r="B147">
        <v>270.22775268554688</v>
      </c>
      <c r="C147">
        <f t="shared" si="56"/>
        <v>5.0019686535646935E-3</v>
      </c>
      <c r="J147">
        <v>279.6409912109375</v>
      </c>
      <c r="K147">
        <f t="shared" ca="1" si="57"/>
        <v>270.76413819269897</v>
      </c>
      <c r="L147">
        <f t="shared" ca="1" si="58"/>
        <v>8.8768530182385348</v>
      </c>
      <c r="M147">
        <f t="shared" ca="1" si="59"/>
        <v>78.798519507410589</v>
      </c>
      <c r="N147">
        <f t="shared" ca="1" si="60"/>
        <v>3.1743747509257639E-2</v>
      </c>
      <c r="O147">
        <f ca="1">+$J146+$J146*$F$5*$G$10+$J146*$G$5*L$23</f>
        <v>271.99768578569126</v>
      </c>
      <c r="P147">
        <f ca="1">+$J146+$J146*$F$5*$G$10+$J146*$G$5*M$23</f>
        <v>270.59053165836229</v>
      </c>
      <c r="Q147">
        <f ca="1">+$J146+$J146*$F$5*$G$10+$J146*$G$5*N$23</f>
        <v>270.84224363139685</v>
      </c>
      <c r="R147">
        <f ca="1">+$J146+$J146*$F$5*$G$10+$J146*$G$5*O$23</f>
        <v>270.46761962279004</v>
      </c>
      <c r="S147">
        <f ca="1">+$J146+$J146*$F$5*$G$10+$J146*$G$5*P$23</f>
        <v>269.05645221400994</v>
      </c>
      <c r="T147">
        <f ca="1">+$J146+$J146*$F$5*$G$10+$J146*$G$5*Q$23</f>
        <v>269.11539673262541</v>
      </c>
      <c r="U147">
        <f ca="1">+$J146+$J146*$F$5*$G$10+$J146*$G$5*R$23</f>
        <v>271.70375840266701</v>
      </c>
      <c r="V147">
        <f ca="1">+$J146+$J146*$F$5*$G$10+$J146*$G$5*S$23</f>
        <v>273.93429863333927</v>
      </c>
      <c r="W147">
        <f ca="1">+$J146+$J146*$F$5*$G$10+$J146*$G$5*T$23</f>
        <v>272.47245111594333</v>
      </c>
      <c r="X147">
        <f ca="1">+$J146+$J146*$F$5*$G$10+$J146*$G$5*U$23</f>
        <v>267.46094413016453</v>
      </c>
    </row>
    <row r="148" spans="1:24">
      <c r="A148" s="2">
        <v>46141</v>
      </c>
      <c r="B148">
        <v>269.688720703125</v>
      </c>
      <c r="C148">
        <f t="shared" si="56"/>
        <v>-8.6716632979682738E-4</v>
      </c>
      <c r="J148">
        <v>276.33682250976563</v>
      </c>
      <c r="K148">
        <f t="shared" ca="1" si="57"/>
        <v>279.53517087350082</v>
      </c>
      <c r="L148">
        <f t="shared" ca="1" si="58"/>
        <v>-3.1983483637351924</v>
      </c>
      <c r="M148">
        <f t="shared" ca="1" si="59"/>
        <v>10.229432255807582</v>
      </c>
      <c r="N148">
        <f t="shared" ca="1" si="60"/>
        <v>1.1574094015726637E-2</v>
      </c>
      <c r="O148">
        <f ca="1">+$J147+$J147*$F$5*$G$10+$J147*$G$5*L$23</f>
        <v>280.8086775479419</v>
      </c>
      <c r="P148">
        <f ca="1">+$J147+$J147*$F$5*$G$10+$J147*$G$5*M$23</f>
        <v>279.35594059372863</v>
      </c>
      <c r="Q148">
        <f ca="1">+$J147+$J147*$F$5*$G$10+$J147*$G$5*N$23</f>
        <v>279.61580643069942</v>
      </c>
      <c r="R148">
        <f ca="1">+$J147+$J147*$F$5*$G$10+$J147*$G$5*O$23</f>
        <v>279.22904699143902</v>
      </c>
      <c r="S148">
        <f ca="1">+$J147+$J147*$F$5*$G$10+$J147*$G$5*P$23</f>
        <v>277.77216675102949</v>
      </c>
      <c r="T148">
        <f ca="1">+$J147+$J147*$F$5*$G$10+$J147*$G$5*Q$23</f>
        <v>277.83302069643457</v>
      </c>
      <c r="U148">
        <f ca="1">+$J147+$J147*$F$5*$G$10+$J147*$G$5*R$23</f>
        <v>280.50522879070797</v>
      </c>
      <c r="V148">
        <f ca="1">+$J147+$J147*$F$5*$G$10+$J147*$G$5*S$23</f>
        <v>282.8080243111304</v>
      </c>
      <c r="W148">
        <f ca="1">+$J147+$J147*$F$5*$G$10+$J147*$G$5*T$23</f>
        <v>281.29882224953599</v>
      </c>
      <c r="X148">
        <f ca="1">+$J147+$J147*$F$5*$G$10+$J147*$G$5*U$23</f>
        <v>276.12497437236095</v>
      </c>
    </row>
    <row r="149" spans="1:24">
      <c r="A149" s="2">
        <v>46142</v>
      </c>
      <c r="B149">
        <v>270.86663818359381</v>
      </c>
      <c r="C149">
        <f t="shared" si="56"/>
        <v>1.8927344376596874E-3</v>
      </c>
      <c r="J149">
        <v>283.67376708984381</v>
      </c>
      <c r="K149">
        <f t="shared" ca="1" si="57"/>
        <v>276.23225251923043</v>
      </c>
      <c r="L149">
        <f t="shared" ca="1" si="58"/>
        <v>7.4415145706133785</v>
      </c>
      <c r="M149">
        <f t="shared" ca="1" si="59"/>
        <v>55.376139104651216</v>
      </c>
      <c r="N149">
        <f t="shared" ca="1" si="60"/>
        <v>2.6232649733369733E-2</v>
      </c>
      <c r="O149">
        <f ca="1">+$J148+$J148*$F$5*$G$10+$J148*$G$5*L$23</f>
        <v>277.49071175418061</v>
      </c>
      <c r="P149">
        <f ca="1">+$J148+$J148*$F$5*$G$10+$J148*$G$5*M$23</f>
        <v>276.05513998005904</v>
      </c>
      <c r="Q149">
        <f ca="1">+$J148+$J148*$F$5*$G$10+$J148*$G$5*N$23</f>
        <v>276.31193530665399</v>
      </c>
      <c r="R149">
        <f ca="1">+$J148+$J148*$F$5*$G$10+$J148*$G$5*O$23</f>
        <v>275.92974572114986</v>
      </c>
      <c r="S149">
        <f ca="1">+$J148+$J148*$F$5*$G$10+$J148*$G$5*P$23</f>
        <v>274.49007961687562</v>
      </c>
      <c r="T149">
        <f ca="1">+$J148+$J148*$F$5*$G$10+$J148*$G$5*Q$23</f>
        <v>274.5502145271318</v>
      </c>
      <c r="U149">
        <f ca="1">+$J148+$J148*$F$5*$G$10+$J148*$G$5*R$23</f>
        <v>277.19084847231539</v>
      </c>
      <c r="V149">
        <f ca="1">+$J148+$J148*$F$5*$G$10+$J148*$G$5*S$23</f>
        <v>279.46643473113841</v>
      </c>
      <c r="W149">
        <f ca="1">+$J148+$J148*$F$5*$G$10+$J148*$G$5*T$23</f>
        <v>277.97506502736127</v>
      </c>
      <c r="X149">
        <f ca="1">+$J148+$J148*$F$5*$G$10+$J148*$G$5*U$23</f>
        <v>272.86235005543864</v>
      </c>
    </row>
    <row r="150" spans="1:24">
      <c r="A150" s="2">
        <v>46143</v>
      </c>
      <c r="B150">
        <v>279.6409912109375</v>
      </c>
      <c r="C150">
        <f t="shared" si="56"/>
        <v>1.3845315250549616E-2</v>
      </c>
      <c r="J150">
        <v>286.99786376953119</v>
      </c>
      <c r="K150">
        <f t="shared" ca="1" si="57"/>
        <v>283.56642068964186</v>
      </c>
      <c r="L150">
        <f t="shared" ca="1" si="58"/>
        <v>3.4314430798893341</v>
      </c>
      <c r="M150">
        <f t="shared" ca="1" si="59"/>
        <v>11.774801610520399</v>
      </c>
      <c r="N150">
        <f t="shared" ca="1" si="60"/>
        <v>1.1956336659860635E-2</v>
      </c>
      <c r="O150">
        <f ca="1">+$J149+$J149*$F$5*$G$10+$J149*$G$5*L$23</f>
        <v>284.8582929369415</v>
      </c>
      <c r="P150">
        <f ca="1">+$J149+$J149*$F$5*$G$10+$J149*$G$5*M$23</f>
        <v>283.38460568312451</v>
      </c>
      <c r="Q150">
        <f ca="1">+$J149+$J149*$F$5*$G$10+$J149*$G$5*N$23</f>
        <v>283.64821911330239</v>
      </c>
      <c r="R150">
        <f ca="1">+$J149+$J149*$F$5*$G$10+$J149*$G$5*O$23</f>
        <v>283.25588211500519</v>
      </c>
      <c r="S150">
        <f ca="1">+$J149+$J149*$F$5*$G$10+$J149*$G$5*P$23</f>
        <v>281.77799182357796</v>
      </c>
      <c r="T150">
        <f ca="1">+$J149+$J149*$F$5*$G$10+$J149*$G$5*Q$23</f>
        <v>281.83972335964705</v>
      </c>
      <c r="U150">
        <f ca="1">+$J149+$J149*$F$5*$G$10+$J149*$G$5*R$23</f>
        <v>284.55046806580754</v>
      </c>
      <c r="V150">
        <f ca="1">+$J149+$J149*$F$5*$G$10+$J149*$G$5*S$23</f>
        <v>286.88647280276359</v>
      </c>
      <c r="W150">
        <f ca="1">+$J149+$J149*$F$5*$G$10+$J149*$G$5*T$23</f>
        <v>285.35550614348256</v>
      </c>
      <c r="X150">
        <f ca="1">+$J149+$J149*$F$5*$G$10+$J149*$G$5*U$23</f>
        <v>280.10704485276665</v>
      </c>
    </row>
    <row r="151" spans="1:24">
      <c r="A151" s="2">
        <v>46146</v>
      </c>
      <c r="B151">
        <v>276.33682250976563</v>
      </c>
      <c r="C151">
        <f t="shared" si="56"/>
        <v>-5.162073353394925E-3</v>
      </c>
      <c r="J151">
        <v>286.927978515625</v>
      </c>
      <c r="K151">
        <f t="shared" ca="1" si="57"/>
        <v>286.88925948138234</v>
      </c>
      <c r="L151">
        <f t="shared" ca="1" si="58"/>
        <v>3.8719034242660655E-2</v>
      </c>
      <c r="M151">
        <f t="shared" ca="1" si="59"/>
        <v>1.4991636126843284E-3</v>
      </c>
      <c r="N151">
        <f t="shared" ca="1" si="60"/>
        <v>1.3494339047369046E-4</v>
      </c>
      <c r="O151">
        <f ca="1">+$J150+$J150*$F$5*$G$10+$J150*$G$5*L$23</f>
        <v>288.1962699217263</v>
      </c>
      <c r="P151">
        <f ca="1">+$J150+$J150*$F$5*$G$10+$J150*$G$5*M$23</f>
        <v>286.70531396182633</v>
      </c>
      <c r="Q151">
        <f ca="1">+$J150+$J150*$F$5*$G$10+$J150*$G$5*N$23</f>
        <v>286.97201642112725</v>
      </c>
      <c r="R151">
        <f ca="1">+$J150+$J150*$F$5*$G$10+$J150*$G$5*O$23</f>
        <v>286.57508200754302</v>
      </c>
      <c r="S151">
        <f ca="1">+$J150+$J150*$F$5*$G$10+$J150*$G$5*P$23</f>
        <v>285.07987375872739</v>
      </c>
      <c r="T151">
        <f ca="1">+$J150+$J150*$F$5*$G$10+$J150*$G$5*Q$23</f>
        <v>285.14232866656323</v>
      </c>
      <c r="U151">
        <f ca="1">+$J150+$J150*$F$5*$G$10+$J150*$G$5*R$23</f>
        <v>287.88483795063888</v>
      </c>
      <c r="V151">
        <f ca="1">+$J150+$J150*$F$5*$G$10+$J150*$G$5*S$23</f>
        <v>290.24821605267385</v>
      </c>
      <c r="W151">
        <f ca="1">+$J150+$J150*$F$5*$G$10+$J150*$G$5*T$23</f>
        <v>288.69930948572687</v>
      </c>
      <c r="X151">
        <f ca="1">+$J150+$J150*$F$5*$G$10+$J150*$G$5*U$23</f>
        <v>283.3893465872701</v>
      </c>
    </row>
    <row r="152" spans="1:24">
      <c r="A152" s="2">
        <v>46147</v>
      </c>
      <c r="B152">
        <v>283.67376708984381</v>
      </c>
      <c r="C152">
        <f t="shared" si="56"/>
        <v>1.138041649766109E-2</v>
      </c>
      <c r="J152">
        <v>292.7974853515625</v>
      </c>
      <c r="K152">
        <f t="shared" ca="1" si="57"/>
        <v>286.81940067310245</v>
      </c>
      <c r="L152">
        <f t="shared" ca="1" si="58"/>
        <v>5.9780846784600499</v>
      </c>
      <c r="M152">
        <f t="shared" ca="1" si="59"/>
        <v>35.737496422838795</v>
      </c>
      <c r="N152">
        <f t="shared" ca="1" si="60"/>
        <v>2.0417131217100967E-2</v>
      </c>
      <c r="O152">
        <f ca="1">+$J151+$J151*$F$5*$G$10+$J151*$G$5*L$23</f>
        <v>288.12609285060188</v>
      </c>
      <c r="P152">
        <f ca="1">+$J151+$J151*$F$5*$G$10+$J151*$G$5*M$23</f>
        <v>286.63549994509708</v>
      </c>
      <c r="Q152">
        <f ca="1">+$J151+$J151*$F$5*$G$10+$J151*$G$5*N$23</f>
        <v>286.90213746116513</v>
      </c>
      <c r="R152">
        <f ca="1">+$J151+$J151*$F$5*$G$10+$J151*$G$5*O$23</f>
        <v>286.50529970287272</v>
      </c>
      <c r="S152">
        <f ca="1">+$J151+$J151*$F$5*$G$10+$J151*$G$5*P$23</f>
        <v>285.01045554390339</v>
      </c>
      <c r="T152">
        <f ca="1">+$J151+$J151*$F$5*$G$10+$J151*$G$5*Q$23</f>
        <v>285.0728952436919</v>
      </c>
      <c r="U152">
        <f ca="1">+$J151+$J151*$F$5*$G$10+$J151*$G$5*R$23</f>
        <v>287.81473671458201</v>
      </c>
      <c r="V152">
        <f ca="1">+$J151+$J151*$F$5*$G$10+$J151*$G$5*S$23</f>
        <v>290.17753932355731</v>
      </c>
      <c r="W152">
        <f ca="1">+$J151+$J151*$F$5*$G$10+$J151*$G$5*T$23</f>
        <v>288.62900992223553</v>
      </c>
      <c r="X152">
        <f ca="1">+$J151+$J151*$F$5*$G$10+$J151*$G$5*U$23</f>
        <v>283.32034002331721</v>
      </c>
    </row>
    <row r="153" spans="1:24">
      <c r="A153" s="2">
        <v>46148</v>
      </c>
      <c r="B153">
        <v>286.99786376953119</v>
      </c>
      <c r="C153">
        <f t="shared" si="56"/>
        <v>5.0594881355811331E-3</v>
      </c>
      <c r="J153">
        <v>292.42779541015619</v>
      </c>
      <c r="K153">
        <f t="shared" ca="1" si="57"/>
        <v>292.68668639978387</v>
      </c>
      <c r="L153">
        <f t="shared" ca="1" si="58"/>
        <v>-0.25889098962767321</v>
      </c>
      <c r="M153">
        <f t="shared" ca="1" si="59"/>
        <v>6.7024544510395995E-2</v>
      </c>
      <c r="N153">
        <f t="shared" ca="1" si="60"/>
        <v>8.8531594359747979E-4</v>
      </c>
      <c r="O153">
        <f ca="1">+$J152+$J152*$F$5*$G$10+$J152*$G$5*L$23</f>
        <v>294.02010876479579</v>
      </c>
      <c r="P153">
        <f ca="1">+$J152+$J152*$F$5*$G$10+$J152*$G$5*M$23</f>
        <v>292.49902372919712</v>
      </c>
      <c r="Q153">
        <f ca="1">+$J152+$J152*$F$5*$G$10+$J152*$G$5*N$23</f>
        <v>292.77111568275637</v>
      </c>
      <c r="R153">
        <f ca="1">+$J152+$J152*$F$5*$G$10+$J152*$G$5*O$23</f>
        <v>292.3661600617616</v>
      </c>
      <c r="S153">
        <f ca="1">+$J152+$J152*$F$5*$G$10+$J152*$G$5*P$23</f>
        <v>290.84073680745576</v>
      </c>
      <c r="T153">
        <f ca="1">+$J152+$J152*$F$5*$G$10+$J152*$G$5*Q$23</f>
        <v>290.90445379726896</v>
      </c>
      <c r="U153">
        <f ca="1">+$J152+$J152*$F$5*$G$10+$J152*$G$5*R$23</f>
        <v>293.70238341034616</v>
      </c>
      <c r="V153">
        <f ca="1">+$J152+$J152*$F$5*$G$10+$J152*$G$5*S$23</f>
        <v>296.11352039973667</v>
      </c>
      <c r="W153">
        <f ca="1">+$J152+$J152*$F$5*$G$10+$J152*$G$5*T$23</f>
        <v>294.53331369753357</v>
      </c>
      <c r="X153">
        <f ca="1">+$J152+$J152*$F$5*$G$10+$J152*$G$5*U$23</f>
        <v>289.11604764698643</v>
      </c>
    </row>
    <row r="154" spans="1:24">
      <c r="A154" s="2">
        <v>46149</v>
      </c>
      <c r="B154">
        <v>286.927978515625</v>
      </c>
      <c r="C154">
        <f t="shared" si="56"/>
        <v>-1.0576551202862019E-4</v>
      </c>
      <c r="J154">
        <v>294.54595947265619</v>
      </c>
      <c r="K154">
        <f t="shared" ca="1" si="57"/>
        <v>292.31713635458578</v>
      </c>
      <c r="L154">
        <f t="shared" ca="1" si="58"/>
        <v>2.2288231180704088</v>
      </c>
      <c r="M154">
        <f t="shared" ca="1" si="59"/>
        <v>4.967652491645099</v>
      </c>
      <c r="N154">
        <f t="shared" ca="1" si="60"/>
        <v>7.5669790957608391E-3</v>
      </c>
      <c r="O154">
        <f ca="1">+$J153+$J153*$F$5*$G$10+$J153*$G$5*L$23</f>
        <v>293.64887512304841</v>
      </c>
      <c r="P154">
        <f ca="1">+$J153+$J153*$F$5*$G$10+$J153*$G$5*M$23</f>
        <v>292.12971062934582</v>
      </c>
      <c r="Q154">
        <f ca="1">+$J153+$J153*$F$5*$G$10+$J153*$G$5*N$23</f>
        <v>292.4014590360394</v>
      </c>
      <c r="R154">
        <f ca="1">+$J153+$J153*$F$5*$G$10+$J153*$G$5*O$23</f>
        <v>291.99701471731765</v>
      </c>
      <c r="S154">
        <f ca="1">+$J153+$J153*$F$5*$G$10+$J153*$G$5*P$23</f>
        <v>290.4735174823997</v>
      </c>
      <c r="T154">
        <f ca="1">+$J153+$J153*$F$5*$G$10+$J153*$G$5*Q$23</f>
        <v>290.53715402230665</v>
      </c>
      <c r="U154">
        <f ca="1">+$J153+$J153*$F$5*$G$10+$J153*$G$5*R$23</f>
        <v>293.3315509327943</v>
      </c>
      <c r="V154">
        <f ca="1">+$J153+$J153*$F$5*$G$10+$J153*$G$5*S$23</f>
        <v>295.73964358902992</v>
      </c>
      <c r="W154">
        <f ca="1">+$J153+$J153*$F$5*$G$10+$J153*$G$5*T$23</f>
        <v>294.16143207651379</v>
      </c>
      <c r="X154">
        <f ca="1">+$J153+$J153*$F$5*$G$10+$J153*$G$5*U$23</f>
        <v>288.75100593706219</v>
      </c>
    </row>
    <row r="155" spans="1:24">
      <c r="A155" s="2">
        <v>46150</v>
      </c>
      <c r="B155">
        <v>292.7974853515625</v>
      </c>
      <c r="C155">
        <f t="shared" si="56"/>
        <v>8.7944439069271001E-3</v>
      </c>
      <c r="J155">
        <v>298.61245727539063</v>
      </c>
      <c r="K155">
        <f t="shared" ca="1" si="57"/>
        <v>294.43449887209465</v>
      </c>
      <c r="L155">
        <f t="shared" ca="1" si="58"/>
        <v>4.1779584032959747</v>
      </c>
      <c r="M155">
        <f t="shared" ca="1" si="59"/>
        <v>17.45533641967145</v>
      </c>
      <c r="N155">
        <f t="shared" ca="1" si="60"/>
        <v>1.3991239486177627E-2</v>
      </c>
      <c r="O155">
        <f ca="1">+$J154+$J154*$F$5*$G$10+$J154*$G$5*L$23</f>
        <v>295.77588392331239</v>
      </c>
      <c r="P155">
        <f ca="1">+$J154+$J154*$F$5*$G$10+$J154*$G$5*M$23</f>
        <v>294.24571555211907</v>
      </c>
      <c r="Q155">
        <f ca="1">+$J154+$J154*$F$5*$G$10+$J154*$G$5*N$23</f>
        <v>294.51943233431638</v>
      </c>
      <c r="R155">
        <f ca="1">+$J154+$J154*$F$5*$G$10+$J154*$G$5*O$23</f>
        <v>294.11205847389357</v>
      </c>
      <c r="S155">
        <f ca="1">+$J154+$J154*$F$5*$G$10+$J154*$G$5*P$23</f>
        <v>292.57752597781723</v>
      </c>
      <c r="T155">
        <f ca="1">+$J154+$J154*$F$5*$G$10+$J154*$G$5*Q$23</f>
        <v>292.64162346102034</v>
      </c>
      <c r="U155">
        <f ca="1">+$J154+$J154*$F$5*$G$10+$J154*$G$5*R$23</f>
        <v>295.45626123508202</v>
      </c>
      <c r="V155">
        <f ca="1">+$J154+$J154*$F$5*$G$10+$J154*$G$5*S$23</f>
        <v>297.88179660847271</v>
      </c>
      <c r="W155">
        <f ca="1">+$J154+$J154*$F$5*$G$10+$J154*$G$5*T$23</f>
        <v>296.29215351879014</v>
      </c>
      <c r="X155">
        <f ca="1">+$J154+$J154*$F$5*$G$10+$J154*$G$5*U$23</f>
        <v>290.84253763612236</v>
      </c>
    </row>
    <row r="156" spans="1:24">
      <c r="A156" s="2">
        <v>46153</v>
      </c>
      <c r="B156">
        <v>292.42779541015619</v>
      </c>
      <c r="C156">
        <f t="shared" si="56"/>
        <v>-5.4869236925447307E-4</v>
      </c>
      <c r="J156">
        <v>297.95303344726563</v>
      </c>
      <c r="K156">
        <f t="shared" ca="1" si="57"/>
        <v>298.49945785118297</v>
      </c>
      <c r="L156">
        <f t="shared" ca="1" si="58"/>
        <v>-0.54642440391734226</v>
      </c>
      <c r="M156">
        <f t="shared" ca="1" si="59"/>
        <v>0.29857962919642278</v>
      </c>
      <c r="N156">
        <f t="shared" ca="1" si="60"/>
        <v>1.8339279771556792E-3</v>
      </c>
      <c r="O156">
        <f ca="1">+$J155+$J155*$F$5*$G$10+$J155*$G$5*L$23</f>
        <v>299.85936204750521</v>
      </c>
      <c r="P156">
        <f ca="1">+$J155+$J155*$F$5*$G$10+$J155*$G$5*M$23</f>
        <v>298.3080681910721</v>
      </c>
      <c r="Q156">
        <f ca="1">+$J155+$J155*$F$5*$G$10+$J155*$G$5*N$23</f>
        <v>298.58556390371331</v>
      </c>
      <c r="R156">
        <f ca="1">+$J155+$J155*$F$5*$G$10+$J155*$G$5*O$23</f>
        <v>298.17256584490985</v>
      </c>
      <c r="S156">
        <f ca="1">+$J155+$J155*$F$5*$G$10+$J155*$G$5*P$23</f>
        <v>296.61684761254065</v>
      </c>
      <c r="T156">
        <f ca="1">+$J155+$J155*$F$5*$G$10+$J155*$G$5*Q$23</f>
        <v>296.68183002478867</v>
      </c>
      <c r="U156">
        <f ca="1">+$J155+$J155*$F$5*$G$10+$J155*$G$5*R$23</f>
        <v>299.53532665247104</v>
      </c>
      <c r="V156">
        <f ca="1">+$J155+$J155*$F$5*$G$10+$J155*$G$5*S$23</f>
        <v>301.99434893664471</v>
      </c>
      <c r="W156">
        <f ca="1">+$J155+$J155*$F$5*$G$10+$J155*$G$5*T$23</f>
        <v>300.38275925450881</v>
      </c>
      <c r="X156">
        <f ca="1">+$J155+$J155*$F$5*$G$10+$J155*$G$5*U$23</f>
        <v>294.85790604367571</v>
      </c>
    </row>
    <row r="157" spans="1:24">
      <c r="A157" s="2">
        <v>46154</v>
      </c>
      <c r="B157">
        <v>294.54595947265619</v>
      </c>
      <c r="C157">
        <f t="shared" si="56"/>
        <v>3.1344193825902432E-3</v>
      </c>
      <c r="J157">
        <v>299.9713134765625</v>
      </c>
      <c r="K157">
        <f t="shared" ca="1" si="57"/>
        <v>297.84028355890644</v>
      </c>
      <c r="L157">
        <f t="shared" ca="1" si="58"/>
        <v>2.1310299176560648</v>
      </c>
      <c r="M157">
        <f t="shared" ca="1" si="59"/>
        <v>4.5412885099452138</v>
      </c>
      <c r="N157">
        <f t="shared" ca="1" si="60"/>
        <v>7.1041123664732277E-3</v>
      </c>
      <c r="O157">
        <f ca="1">+$J156+$J156*$F$5*$G$10+$J156*$G$5*L$23</f>
        <v>299.19718468817916</v>
      </c>
      <c r="P157">
        <f ca="1">+$J156+$J156*$F$5*$G$10+$J156*$G$5*M$23</f>
        <v>297.64931654326085</v>
      </c>
      <c r="Q157">
        <f ca="1">+$J156+$J156*$F$5*$G$10+$J156*$G$5*N$23</f>
        <v>297.92619946403539</v>
      </c>
      <c r="R157">
        <f ca="1">+$J156+$J156*$F$5*$G$10+$J156*$G$5*O$23</f>
        <v>297.51411342599431</v>
      </c>
      <c r="S157">
        <f ca="1">+$J156+$J156*$F$5*$G$10+$J156*$G$5*P$23</f>
        <v>295.96183067545877</v>
      </c>
      <c r="T157">
        <f ca="1">+$J156+$J156*$F$5*$G$10+$J156*$G$5*Q$23</f>
        <v>296.02666958749433</v>
      </c>
      <c r="U157">
        <f ca="1">+$J156+$J156*$F$5*$G$10+$J156*$G$5*R$23</f>
        <v>298.87386485827108</v>
      </c>
      <c r="V157">
        <f ca="1">+$J156+$J156*$F$5*$G$10+$J156*$G$5*S$23</f>
        <v>301.32745690050888</v>
      </c>
      <c r="W157">
        <f ca="1">+$J156+$J156*$F$5*$G$10+$J156*$G$5*T$23</f>
        <v>299.71942608074346</v>
      </c>
      <c r="X157">
        <f ca="1">+$J156+$J156*$F$5*$G$10+$J156*$G$5*U$23</f>
        <v>294.20677336511864</v>
      </c>
    </row>
    <row r="158" spans="1:24">
      <c r="A158" s="2">
        <v>46155</v>
      </c>
      <c r="B158">
        <v>298.61245727539063</v>
      </c>
      <c r="C158">
        <f t="shared" si="56"/>
        <v>5.9548517753948826E-3</v>
      </c>
      <c r="J158">
        <v>297.58334350585938</v>
      </c>
      <c r="K158">
        <f t="shared" ca="1" si="57"/>
        <v>299.85779984082558</v>
      </c>
      <c r="L158">
        <f t="shared" ca="1" si="58"/>
        <v>-2.274456334966203</v>
      </c>
      <c r="M158">
        <f t="shared" ca="1" si="59"/>
        <v>5.1731516196678928</v>
      </c>
      <c r="N158">
        <f t="shared" ca="1" si="60"/>
        <v>7.6430901950714164E-3</v>
      </c>
      <c r="O158">
        <f ca="1">+$J157+$J157*$F$5*$G$10+$J157*$G$5*L$23</f>
        <v>301.22389237325086</v>
      </c>
      <c r="P158">
        <f ca="1">+$J157+$J157*$F$5*$G$10+$J157*$G$5*M$23</f>
        <v>299.6655392491104</v>
      </c>
      <c r="Q158">
        <f ca="1">+$J157+$J157*$F$5*$G$10+$J157*$G$5*N$23</f>
        <v>299.9442977247769</v>
      </c>
      <c r="R158">
        <f ca="1">+$J157+$J157*$F$5*$G$10+$J157*$G$5*O$23</f>
        <v>299.52942029034926</v>
      </c>
      <c r="S158">
        <f ca="1">+$J157+$J157*$F$5*$G$10+$J157*$G$5*P$23</f>
        <v>297.96662265685046</v>
      </c>
      <c r="T158">
        <f ca="1">+$J157+$J157*$F$5*$G$10+$J157*$G$5*Q$23</f>
        <v>298.03190077596435</v>
      </c>
      <c r="U158">
        <f ca="1">+$J157+$J157*$F$5*$G$10+$J157*$G$5*R$23</f>
        <v>300.89838243321628</v>
      </c>
      <c r="V158">
        <f ca="1">+$J157+$J157*$F$5*$G$10+$J157*$G$5*S$23</f>
        <v>303.36859466475568</v>
      </c>
      <c r="W158">
        <f ca="1">+$J157+$J157*$F$5*$G$10+$J157*$G$5*T$23</f>
        <v>301.7496713346759</v>
      </c>
      <c r="X158">
        <f ca="1">+$J157+$J157*$F$5*$G$10+$J157*$G$5*U$23</f>
        <v>296.19967690530621</v>
      </c>
    </row>
    <row r="159" spans="1:24">
      <c r="A159" s="2">
        <v>46156</v>
      </c>
      <c r="B159">
        <v>297.95303344726563</v>
      </c>
      <c r="C159">
        <f t="shared" si="56"/>
        <v>-9.6010999926110703E-4</v>
      </c>
      <c r="J159">
        <v>298.71237182617188</v>
      </c>
      <c r="K159">
        <f t="shared" ca="1" si="57"/>
        <v>297.47073351370847</v>
      </c>
      <c r="L159">
        <f t="shared" ca="1" si="58"/>
        <v>1.2416383124634081</v>
      </c>
      <c r="M159">
        <f t="shared" ca="1" si="59"/>
        <v>1.5416656989769797</v>
      </c>
      <c r="N159">
        <f t="shared" ca="1" si="60"/>
        <v>4.1566350428429797E-3</v>
      </c>
      <c r="O159">
        <f ca="1">+$J158+$J158*$F$5*$G$10+$J158*$G$5*L$23</f>
        <v>298.82595104643184</v>
      </c>
      <c r="P159">
        <f ca="1">+$J158+$J158*$F$5*$G$10+$J158*$G$5*M$23</f>
        <v>297.28000344340961</v>
      </c>
      <c r="Q159">
        <f ca="1">+$J158+$J158*$F$5*$G$10+$J158*$G$5*N$23</f>
        <v>297.55654281731842</v>
      </c>
      <c r="R159">
        <f ca="1">+$J158+$J158*$F$5*$G$10+$J158*$G$5*O$23</f>
        <v>297.14496808155042</v>
      </c>
      <c r="S159">
        <f ca="1">+$J158+$J158*$F$5*$G$10+$J158*$G$5*P$23</f>
        <v>295.59461135040272</v>
      </c>
      <c r="T159">
        <f ca="1">+$J158+$J158*$F$5*$G$10+$J158*$G$5*Q$23</f>
        <v>295.65936981253213</v>
      </c>
      <c r="U159">
        <f ca="1">+$J158+$J158*$F$5*$G$10+$J158*$G$5*R$23</f>
        <v>298.50303238071928</v>
      </c>
      <c r="V159">
        <f ca="1">+$J158+$J158*$F$5*$G$10+$J158*$G$5*S$23</f>
        <v>300.95358008980213</v>
      </c>
      <c r="W159">
        <f ca="1">+$J158+$J158*$F$5*$G$10+$J158*$G$5*T$23</f>
        <v>299.34754445972374</v>
      </c>
      <c r="X159">
        <f ca="1">+$J158+$J158*$F$5*$G$10+$J158*$G$5*U$23</f>
        <v>293.84173165519445</v>
      </c>
    </row>
    <row r="160" spans="1:24">
      <c r="A160" s="2">
        <v>46157</v>
      </c>
      <c r="B160">
        <v>299.9713134765625</v>
      </c>
      <c r="C160">
        <f t="shared" si="56"/>
        <v>2.9319134208183576E-3</v>
      </c>
      <c r="J160">
        <v>301.98956298828119</v>
      </c>
      <c r="K160">
        <f t="shared" ca="1" si="57"/>
        <v>298.59933459280251</v>
      </c>
      <c r="L160">
        <f t="shared" ca="1" si="58"/>
        <v>3.3902283954786867</v>
      </c>
      <c r="M160">
        <f t="shared" ca="1" si="59"/>
        <v>11.49364857350999</v>
      </c>
      <c r="N160">
        <f t="shared" ca="1" si="60"/>
        <v>1.12263098165755E-2</v>
      </c>
      <c r="O160">
        <f ca="1">+$J159+$J159*$F$5*$G$10+$J159*$G$5*L$23</f>
        <v>299.95969380770674</v>
      </c>
      <c r="P160">
        <f ca="1">+$J159+$J159*$F$5*$G$10+$J159*$G$5*M$23</f>
        <v>298.40788089446596</v>
      </c>
      <c r="Q160">
        <f ca="1">+$J159+$J159*$F$5*$G$10+$J159*$G$5*N$23</f>
        <v>298.68546945607847</v>
      </c>
      <c r="R160">
        <f ca="1">+$J159+$J159*$F$5*$G$10+$J159*$G$5*O$23</f>
        <v>298.27233320975301</v>
      </c>
      <c r="S160">
        <f ca="1">+$J159+$J159*$F$5*$G$10+$J159*$G$5*P$23</f>
        <v>296.71609444019737</v>
      </c>
      <c r="T160">
        <f ca="1">+$J159+$J159*$F$5*$G$10+$J159*$G$5*Q$23</f>
        <v>296.78109859530429</v>
      </c>
      <c r="U160">
        <f ca="1">+$J159+$J159*$F$5*$G$10+$J159*$G$5*R$23</f>
        <v>299.63554999170708</v>
      </c>
      <c r="V160">
        <f ca="1">+$J159+$J159*$F$5*$G$10+$J159*$G$5*S$23</f>
        <v>302.09539505504108</v>
      </c>
      <c r="W160">
        <f ca="1">+$J159+$J159*$F$5*$G$10+$J159*$G$5*T$23</f>
        <v>300.48326614135203</v>
      </c>
      <c r="X160">
        <f ca="1">+$J159+$J159*$F$5*$G$10+$J159*$G$5*U$23</f>
        <v>294.95656433641898</v>
      </c>
    </row>
    <row r="161" spans="1:24">
      <c r="A161" s="2">
        <v>46160</v>
      </c>
      <c r="B161">
        <v>297.58334350585938</v>
      </c>
      <c r="C161">
        <f t="shared" si="56"/>
        <v>-3.4711057469451112E-3</v>
      </c>
      <c r="J161">
        <v>304.7271728515625</v>
      </c>
      <c r="K161">
        <f t="shared" ca="1" si="57"/>
        <v>301.87528561671485</v>
      </c>
      <c r="L161">
        <f t="shared" ca="1" si="58"/>
        <v>2.8518872348476521</v>
      </c>
      <c r="M161">
        <f t="shared" ca="1" si="59"/>
        <v>8.1332608002869868</v>
      </c>
      <c r="N161">
        <f t="shared" ca="1" si="60"/>
        <v>9.3588215588402811E-3</v>
      </c>
      <c r="O161">
        <f ca="1">+$J160+$J160*$F$5*$G$10+$J160*$G$5*L$23</f>
        <v>303.25056941331326</v>
      </c>
      <c r="P161">
        <f ca="1">+$J160+$J160*$F$5*$G$10+$J160*$G$5*M$23</f>
        <v>301.68173146848972</v>
      </c>
      <c r="Q161">
        <f ca="1">+$J160+$J160*$F$5*$G$10+$J160*$G$5*N$23</f>
        <v>301.96236547068861</v>
      </c>
      <c r="R161">
        <f ca="1">+$J160+$J160*$F$5*$G$10+$J160*$G$5*O$23</f>
        <v>301.54469668208196</v>
      </c>
      <c r="S161">
        <f ca="1">+$J160+$J160*$F$5*$G$10+$J160*$G$5*P$23</f>
        <v>299.97138432461122</v>
      </c>
      <c r="T161">
        <f ca="1">+$J160+$J160*$F$5*$G$10+$J160*$G$5*Q$23</f>
        <v>300.03710164416231</v>
      </c>
      <c r="U161">
        <f ca="1">+$J160+$J160*$F$5*$G$10+$J160*$G$5*R$23</f>
        <v>302.92286939626791</v>
      </c>
      <c r="V161">
        <f ca="1">+$J160+$J160*$F$5*$G$10+$J160*$G$5*S$23</f>
        <v>305.40970156580192</v>
      </c>
      <c r="W161">
        <f ca="1">+$J160+$J160*$F$5*$G$10+$J160*$G$5*T$23</f>
        <v>303.77988589010891</v>
      </c>
      <c r="X161">
        <f ca="1">+$J160+$J160*$F$5*$G$10+$J160*$G$5*U$23</f>
        <v>298.19255031162299</v>
      </c>
    </row>
    <row r="162" spans="1:24">
      <c r="A162" s="2">
        <v>46161</v>
      </c>
      <c r="B162">
        <v>298.71237182617188</v>
      </c>
      <c r="C162">
        <f t="shared" si="56"/>
        <v>1.6445912414240343E-3</v>
      </c>
      <c r="J162">
        <v>308.55389404296881</v>
      </c>
      <c r="K162">
        <f t="shared" ca="1" si="57"/>
        <v>304.61185952744052</v>
      </c>
      <c r="L162">
        <f t="shared" ca="1" si="58"/>
        <v>3.9420345155282916</v>
      </c>
      <c r="M162">
        <f t="shared" ca="1" si="59"/>
        <v>15.539636121616374</v>
      </c>
      <c r="N162">
        <f t="shared" ca="1" si="60"/>
        <v>1.2775837841084997E-2</v>
      </c>
      <c r="O162">
        <f ca="1">+$J161+$J161*$F$5*$G$10+$J161*$G$5*L$23</f>
        <v>305.9996106108191</v>
      </c>
      <c r="P162">
        <f ca="1">+$J161+$J161*$F$5*$G$10+$J161*$G$5*M$23</f>
        <v>304.41655076312861</v>
      </c>
      <c r="Q162">
        <f ca="1">+$J161+$J161*$F$5*$G$10+$J161*$G$5*N$23</f>
        <v>304.69972878176566</v>
      </c>
      <c r="R162">
        <f ca="1">+$J161+$J161*$F$5*$G$10+$J161*$G$5*O$23</f>
        <v>304.27827372258741</v>
      </c>
      <c r="S162">
        <f ca="1">+$J161+$J161*$F$5*$G$10+$J161*$G$5*P$23</f>
        <v>302.69069890059569</v>
      </c>
      <c r="T162">
        <f ca="1">+$J161+$J161*$F$5*$G$10+$J161*$G$5*Q$23</f>
        <v>302.75701196385529</v>
      </c>
      <c r="U162">
        <f ca="1">+$J161+$J161*$F$5*$G$10+$J161*$G$5*R$23</f>
        <v>305.66893991230387</v>
      </c>
      <c r="V162">
        <f ca="1">+$J161+$J161*$F$5*$G$10+$J161*$G$5*S$23</f>
        <v>308.17831582874186</v>
      </c>
      <c r="W162">
        <f ca="1">+$J161+$J161*$F$5*$G$10+$J161*$G$5*T$23</f>
        <v>306.53372547201366</v>
      </c>
      <c r="X162">
        <f ca="1">+$J161+$J161*$F$5*$G$10+$J161*$G$5*U$23</f>
        <v>300.89573931859474</v>
      </c>
    </row>
    <row r="163" spans="1:24">
      <c r="A163" s="2">
        <v>46162</v>
      </c>
      <c r="B163">
        <v>301.98956298828119</v>
      </c>
      <c r="C163">
        <f t="shared" si="56"/>
        <v>4.7387234037990595E-3</v>
      </c>
      <c r="J163">
        <v>308.06430053710938</v>
      </c>
      <c r="K163">
        <f t="shared" ca="1" si="57"/>
        <v>308.43713263026018</v>
      </c>
      <c r="L163">
        <f t="shared" ca="1" si="58"/>
        <v>-0.37283209315080512</v>
      </c>
      <c r="M163">
        <f t="shared" ca="1" si="59"/>
        <v>0.13900376968321063</v>
      </c>
      <c r="N163">
        <f t="shared" ca="1" si="60"/>
        <v>1.2102411493339969E-3</v>
      </c>
      <c r="O163">
        <f ca="1">+$J162+$J162*$F$5*$G$10+$J162*$G$5*L$23</f>
        <v>309.84231089753393</v>
      </c>
      <c r="P163">
        <f ca="1">+$J162+$J162*$F$5*$G$10+$J162*$G$5*M$23</f>
        <v>308.2393712058186</v>
      </c>
      <c r="Q163">
        <f ca="1">+$J162+$J162*$F$5*$G$10+$J162*$G$5*N$23</f>
        <v>308.52610533438417</v>
      </c>
      <c r="R163">
        <f ca="1">+$J162+$J162*$F$5*$G$10+$J162*$G$5*O$23</f>
        <v>308.09935770155357</v>
      </c>
      <c r="S163">
        <f ca="1">+$J162+$J162*$F$5*$G$10+$J162*$G$5*P$23</f>
        <v>306.49184633712156</v>
      </c>
      <c r="T163">
        <f ca="1">+$J162+$J162*$F$5*$G$10+$J162*$G$5*Q$23</f>
        <v>306.55899215054933</v>
      </c>
      <c r="U163">
        <f ca="1">+$J162+$J162*$F$5*$G$10+$J162*$G$5*R$23</f>
        <v>309.50748768266271</v>
      </c>
      <c r="V163">
        <f ca="1">+$J162+$J162*$F$5*$G$10+$J162*$G$5*S$23</f>
        <v>312.04837599068287</v>
      </c>
      <c r="W163">
        <f ca="1">+$J162+$J162*$F$5*$G$10+$J162*$G$5*T$23</f>
        <v>310.38313309840828</v>
      </c>
      <c r="X163">
        <f ca="1">+$J162+$J162*$F$5*$G$10+$J162*$G$5*U$23</f>
        <v>304.67434590388677</v>
      </c>
    </row>
    <row r="164" spans="1:24">
      <c r="A164" s="2">
        <v>46163</v>
      </c>
      <c r="B164">
        <v>304.7271728515625</v>
      </c>
      <c r="C164">
        <f t="shared" si="56"/>
        <v>3.9192488218437503E-3</v>
      </c>
      <c r="J164">
        <v>310.5821533203125</v>
      </c>
      <c r="K164">
        <f t="shared" ca="1" si="57"/>
        <v>307.94772439391278</v>
      </c>
      <c r="L164">
        <f t="shared" ca="1" si="58"/>
        <v>2.6344289263997211</v>
      </c>
      <c r="M164">
        <f t="shared" ca="1" si="59"/>
        <v>6.940215768251587</v>
      </c>
      <c r="N164">
        <f t="shared" ca="1" si="60"/>
        <v>8.4822289311735095E-3</v>
      </c>
      <c r="O164">
        <f ca="1">+$J163+$J163*$F$5*$G$10+$J163*$G$5*L$23</f>
        <v>309.35067301454291</v>
      </c>
      <c r="P164">
        <f ca="1">+$J163+$J163*$F$5*$G$10+$J163*$G$5*M$23</f>
        <v>307.75027676460064</v>
      </c>
      <c r="Q164">
        <f ca="1">+$J163+$J163*$F$5*$G$10+$J163*$G$5*N$23</f>
        <v>308.03655592186306</v>
      </c>
      <c r="R164">
        <f ca="1">+$J163+$J163*$F$5*$G$10+$J163*$G$5*O$23</f>
        <v>307.61048542477351</v>
      </c>
      <c r="S164">
        <f ca="1">+$J163+$J163*$F$5*$G$10+$J163*$G$5*P$23</f>
        <v>306.0055247561512</v>
      </c>
      <c r="T164">
        <f ca="1">+$J163+$J163*$F$5*$G$10+$J163*$G$5*Q$23</f>
        <v>306.07256402691388</v>
      </c>
      <c r="U164">
        <f ca="1">+$J163+$J163*$F$5*$G$10+$J163*$G$5*R$23</f>
        <v>309.01638107564901</v>
      </c>
      <c r="V164">
        <f ca="1">+$J163+$J163*$F$5*$G$10+$J163*$G$5*S$23</f>
        <v>311.55323766526038</v>
      </c>
      <c r="W164">
        <f ca="1">+$J163+$J163*$F$5*$G$10+$J163*$G$5*T$23</f>
        <v>309.8906370734768</v>
      </c>
      <c r="X164">
        <f ca="1">+$J163+$J163*$F$5*$G$10+$J163*$G$5*U$23</f>
        <v>304.19090821589651</v>
      </c>
    </row>
    <row r="165" spans="1:24">
      <c r="A165" s="2">
        <v>46164</v>
      </c>
      <c r="B165">
        <v>308.55389404296881</v>
      </c>
      <c r="C165">
        <f t="shared" si="56"/>
        <v>5.4198492539517269E-3</v>
      </c>
      <c r="J165">
        <v>312.24072265625</v>
      </c>
      <c r="K165">
        <f t="shared" ca="1" si="57"/>
        <v>310.46462438392928</v>
      </c>
      <c r="L165">
        <f t="shared" ca="1" si="58"/>
        <v>1.7760982723207235</v>
      </c>
      <c r="M165">
        <f t="shared" ca="1" si="59"/>
        <v>3.1545250729406589</v>
      </c>
      <c r="N165">
        <f t="shared" ca="1" si="60"/>
        <v>5.6882339280134638E-3</v>
      </c>
      <c r="O165">
        <f ca="1">+$J164+$J164*$F$5*$G$10+$J164*$G$5*L$23</f>
        <v>311.87903950062201</v>
      </c>
      <c r="P165">
        <f ca="1">+$J164+$J164*$F$5*$G$10+$J164*$G$5*M$23</f>
        <v>310.2655629874194</v>
      </c>
      <c r="Q165">
        <f ca="1">+$J164+$J164*$F$5*$G$10+$J164*$G$5*N$23</f>
        <v>310.55418194443024</v>
      </c>
      <c r="R165">
        <f ca="1">+$J164+$J164*$F$5*$G$10+$J164*$G$5*O$23</f>
        <v>310.12462911334393</v>
      </c>
      <c r="S165">
        <f ca="1">+$J164+$J164*$F$5*$G$10+$J164*$G$5*P$23</f>
        <v>308.50655087582652</v>
      </c>
      <c r="T165">
        <f ca="1">+$J164+$J164*$F$5*$G$10+$J164*$G$5*Q$23</f>
        <v>308.57413806796205</v>
      </c>
      <c r="U165">
        <f ca="1">+$J164+$J164*$F$5*$G$10+$J164*$G$5*R$23</f>
        <v>311.54201534677406</v>
      </c>
      <c r="V165">
        <f ca="1">+$J164+$J164*$F$5*$G$10+$J164*$G$5*S$23</f>
        <v>314.09960602148908</v>
      </c>
      <c r="W165">
        <f ca="1">+$J164+$J164*$F$5*$G$10+$J164*$G$5*T$23</f>
        <v>312.42341676162522</v>
      </c>
      <c r="X165">
        <f ca="1">+$J164+$J164*$F$5*$G$10+$J164*$G$5*U$23</f>
        <v>306.6771032198003</v>
      </c>
    </row>
    <row r="166" spans="1:24">
      <c r="A166" s="2">
        <v>46168</v>
      </c>
      <c r="B166">
        <v>308.06430053710938</v>
      </c>
      <c r="C166">
        <f t="shared" si="56"/>
        <v>-6.8965789372374062E-4</v>
      </c>
      <c r="J166">
        <v>311.79110717773438</v>
      </c>
      <c r="K166">
        <f t="shared" ca="1" si="57"/>
        <v>312.12256609240046</v>
      </c>
      <c r="L166">
        <f t="shared" ca="1" si="58"/>
        <v>-0.33145891466608646</v>
      </c>
      <c r="M166">
        <f t="shared" ca="1" si="59"/>
        <v>0.10986501211161999</v>
      </c>
      <c r="N166">
        <f t="shared" ca="1" si="60"/>
        <v>1.0630800784101279E-3</v>
      </c>
      <c r="O166">
        <f ca="1">+$J165+$J165*$F$5*$G$10+$J165*$G$5*L$23</f>
        <v>313.54453446196288</v>
      </c>
      <c r="P166">
        <f ca="1">+$J165+$J165*$F$5*$G$10+$J165*$G$5*M$23</f>
        <v>311.92244166916902</v>
      </c>
      <c r="Q166">
        <f ca="1">+$J165+$J165*$F$5*$G$10+$J165*$G$5*N$23</f>
        <v>312.21260190775945</v>
      </c>
      <c r="R166">
        <f ca="1">+$J165+$J165*$F$5*$G$10+$J165*$G$5*O$23</f>
        <v>311.78075518069039</v>
      </c>
      <c r="S166">
        <f ca="1">+$J165+$J165*$F$5*$G$10+$J165*$G$5*P$23</f>
        <v>310.15403608947554</v>
      </c>
      <c r="T166">
        <f ca="1">+$J165+$J165*$F$5*$G$10+$J165*$G$5*Q$23</f>
        <v>310.22198421041259</v>
      </c>
      <c r="U166">
        <f ca="1">+$J165+$J165*$F$5*$G$10+$J165*$G$5*R$23</f>
        <v>313.20571053333367</v>
      </c>
      <c r="V166">
        <f ca="1">+$J165+$J165*$F$5*$G$10+$J165*$G$5*S$23</f>
        <v>315.77695924158866</v>
      </c>
      <c r="W166">
        <f ca="1">+$J165+$J165*$F$5*$G$10+$J165*$G$5*T$23</f>
        <v>314.09181880382255</v>
      </c>
      <c r="X166">
        <f ca="1">+$J165+$J165*$F$5*$G$10+$J165*$G$5*U$23</f>
        <v>308.31481882578981</v>
      </c>
    </row>
    <row r="167" spans="1:24">
      <c r="A167" s="2">
        <v>46169</v>
      </c>
      <c r="B167">
        <v>310.5821533203125</v>
      </c>
      <c r="C167">
        <f t="shared" si="56"/>
        <v>3.5351228505279596E-3</v>
      </c>
      <c r="J167">
        <v>306.04605102539063</v>
      </c>
      <c r="K167">
        <f t="shared" ca="1" si="57"/>
        <v>311.6731207551129</v>
      </c>
      <c r="L167">
        <f t="shared" ca="1" si="58"/>
        <v>-5.6270697297222796</v>
      </c>
      <c r="M167">
        <f t="shared" ca="1" si="59"/>
        <v>31.663913743156769</v>
      </c>
      <c r="N167">
        <f t="shared" ca="1" si="60"/>
        <v>1.8386349736809506E-2</v>
      </c>
      <c r="O167">
        <f ca="1">+$J166+$J166*$F$5*$G$10+$J166*$G$5*L$23</f>
        <v>313.09304154105627</v>
      </c>
      <c r="P167">
        <f ca="1">+$J166+$J166*$F$5*$G$10+$J166*$G$5*M$23</f>
        <v>311.47328450389676</v>
      </c>
      <c r="Q167">
        <f ca="1">+$J166+$J166*$F$5*$G$10+$J166*$G$5*N$23</f>
        <v>311.76302692211641</v>
      </c>
      <c r="R167">
        <f ca="1">+$J166+$J166*$F$5*$G$10+$J166*$G$5*O$23</f>
        <v>311.33180203889651</v>
      </c>
      <c r="S167">
        <f ca="1">+$J166+$J166*$F$5*$G$10+$J166*$G$5*P$23</f>
        <v>309.70742536502036</v>
      </c>
      <c r="T167">
        <f ca="1">+$J166+$J166*$F$5*$G$10+$J166*$G$5*Q$23</f>
        <v>309.7752756430923</v>
      </c>
      <c r="U167">
        <f ca="1">+$J166+$J166*$F$5*$G$10+$J166*$G$5*R$23</f>
        <v>312.75470550677187</v>
      </c>
      <c r="V167">
        <f ca="1">+$J166+$J166*$F$5*$G$10+$J166*$G$5*S$23</f>
        <v>315.32225170880503</v>
      </c>
      <c r="W167">
        <f ca="1">+$J166+$J166*$F$5*$G$10+$J166*$G$5*T$23</f>
        <v>313.6395378130282</v>
      </c>
      <c r="X167">
        <f ca="1">+$J166+$J166*$F$5*$G$10+$J166*$G$5*U$23</f>
        <v>307.87085650844529</v>
      </c>
    </row>
    <row r="168" spans="1:24">
      <c r="A168" s="2">
        <v>46170</v>
      </c>
      <c r="B168">
        <v>312.24072265625</v>
      </c>
      <c r="C168">
        <f t="shared" si="56"/>
        <v>2.3130467454860596E-3</v>
      </c>
      <c r="J168">
        <v>314.92840576171881</v>
      </c>
      <c r="K168">
        <f t="shared" ca="1" si="57"/>
        <v>305.93023861802351</v>
      </c>
      <c r="L168">
        <f t="shared" ca="1" si="58"/>
        <v>8.9981671436952979</v>
      </c>
      <c r="M168">
        <f t="shared" ca="1" si="59"/>
        <v>80.967011945877601</v>
      </c>
      <c r="N168">
        <f t="shared" ca="1" si="60"/>
        <v>2.857210394194639E-2</v>
      </c>
      <c r="O168">
        <f ca="1">+$J167+$J167*$F$5*$G$10+$J167*$G$5*L$23</f>
        <v>307.32399597448045</v>
      </c>
      <c r="P168">
        <f ca="1">+$J167+$J167*$F$5*$G$10+$J167*$G$5*M$23</f>
        <v>305.73408454522132</v>
      </c>
      <c r="Q168">
        <f ca="1">+$J167+$J167*$F$5*$G$10+$J167*$G$5*N$23</f>
        <v>306.01848817595129</v>
      </c>
      <c r="R168">
        <f ca="1">+$J167+$J167*$F$5*$G$10+$J167*$G$5*O$23</f>
        <v>305.5952090330407</v>
      </c>
      <c r="S168">
        <f ca="1">+$J167+$J167*$F$5*$G$10+$J167*$G$5*P$23</f>
        <v>304.00076308839044</v>
      </c>
      <c r="T168">
        <f ca="1">+$J167+$J167*$F$5*$G$10+$J167*$G$5*Q$23</f>
        <v>304.06736315871592</v>
      </c>
      <c r="U168">
        <f ca="1">+$J167+$J167*$F$5*$G$10+$J167*$G$5*R$23</f>
        <v>306.99189411259732</v>
      </c>
      <c r="V168">
        <f ca="1">+$J167+$J167*$F$5*$G$10+$J167*$G$5*S$23</f>
        <v>309.51213076421408</v>
      </c>
      <c r="W168">
        <f ca="1">+$J167+$J167*$F$5*$G$10+$J167*$G$5*T$23</f>
        <v>307.86042251804372</v>
      </c>
      <c r="X168">
        <f ca="1">+$J167+$J167*$F$5*$G$10+$J167*$G$5*U$23</f>
        <v>302.19803480957967</v>
      </c>
    </row>
    <row r="169" spans="1:24">
      <c r="A169" s="2">
        <v>46171</v>
      </c>
      <c r="B169">
        <v>311.79110717773438</v>
      </c>
      <c r="C169">
        <f t="shared" si="56"/>
        <v>-6.2581921546671056E-4</v>
      </c>
      <c r="J169">
        <v>309.99264526367188</v>
      </c>
      <c r="K169">
        <f t="shared" ca="1" si="57"/>
        <v>314.8092321383462</v>
      </c>
      <c r="L169">
        <f t="shared" ca="1" si="58"/>
        <v>-4.8165868746743286</v>
      </c>
      <c r="M169">
        <f t="shared" ca="1" si="59"/>
        <v>23.199509121285015</v>
      </c>
      <c r="N169">
        <f t="shared" ca="1" si="60"/>
        <v>1.5537745647408705E-2</v>
      </c>
      <c r="O169">
        <f ca="1">+$J168+$J168*$F$5*$G$10+$J168*$G$5*L$23</f>
        <v>316.24344042437718</v>
      </c>
      <c r="P169">
        <f ca="1">+$J168+$J168*$F$5*$G$10+$J168*$G$5*M$23</f>
        <v>314.60738509858118</v>
      </c>
      <c r="Q169">
        <f ca="1">+$J168+$J168*$F$5*$G$10+$J168*$G$5*N$23</f>
        <v>314.90004295748361</v>
      </c>
      <c r="R169">
        <f ca="1">+$J168+$J168*$F$5*$G$10+$J168*$G$5*O$23</f>
        <v>314.46447901139646</v>
      </c>
      <c r="S169">
        <f ca="1">+$J168+$J168*$F$5*$G$10+$J168*$G$5*P$23</f>
        <v>312.82375756526255</v>
      </c>
      <c r="T169">
        <f ca="1">+$J168+$J168*$F$5*$G$10+$J168*$G$5*Q$23</f>
        <v>312.89229056511977</v>
      </c>
      <c r="U169">
        <f ca="1">+$J168+$J168*$F$5*$G$10+$J168*$G$5*R$23</f>
        <v>315.9016999916451</v>
      </c>
      <c r="V169">
        <f ca="1">+$J168+$J168*$F$5*$G$10+$J168*$G$5*S$23</f>
        <v>318.49508130853087</v>
      </c>
      <c r="W169">
        <f ca="1">+$J168+$J168*$F$5*$G$10+$J168*$G$5*T$23</f>
        <v>316.79543564080501</v>
      </c>
      <c r="X169">
        <f ca="1">+$J168+$J168*$F$5*$G$10+$J168*$G$5*U$23</f>
        <v>310.96870882026064</v>
      </c>
    </row>
    <row r="170" spans="1:24">
      <c r="A170" s="2">
        <v>46174</v>
      </c>
      <c r="B170">
        <v>306.04605102539063</v>
      </c>
      <c r="C170">
        <f t="shared" si="56"/>
        <v>-8.0769441177379695E-3</v>
      </c>
      <c r="J170">
        <v>310.96182250976563</v>
      </c>
      <c r="K170">
        <f t="shared" ca="1" si="57"/>
        <v>309.87533940596256</v>
      </c>
      <c r="L170">
        <f t="shared" ca="1" si="58"/>
        <v>1.0864831038030616</v>
      </c>
      <c r="M170">
        <f t="shared" ca="1" si="59"/>
        <v>1.1804455348495342</v>
      </c>
      <c r="N170">
        <f t="shared" ca="1" si="60"/>
        <v>3.4939437099836945E-3</v>
      </c>
      <c r="O170">
        <f ca="1">+$J169+$J169*$F$5*$G$10+$J169*$G$5*L$23</f>
        <v>311.28706985742963</v>
      </c>
      <c r="P170">
        <f ca="1">+$J169+$J169*$F$5*$G$10+$J169*$G$5*M$23</f>
        <v>309.67665584280769</v>
      </c>
      <c r="Q170">
        <f ca="1">+$J169+$J169*$F$5*$G$10+$J169*$G$5*N$23</f>
        <v>309.96472697954408</v>
      </c>
      <c r="R170">
        <f ca="1">+$J169+$J169*$F$5*$G$10+$J169*$G$5*O$23</f>
        <v>309.53598947172077</v>
      </c>
      <c r="S170">
        <f ca="1">+$J169+$J169*$F$5*$G$10+$J169*$G$5*P$23</f>
        <v>307.92098246719956</v>
      </c>
      <c r="T170">
        <f ca="1">+$J169+$J169*$F$5*$G$10+$J169*$G$5*Q$23</f>
        <v>307.98844137381104</v>
      </c>
      <c r="U170">
        <f ca="1">+$J169+$J169*$F$5*$G$10+$J169*$G$5*R$23</f>
        <v>310.95068540052443</v>
      </c>
      <c r="V170">
        <f ca="1">+$J169+$J169*$F$5*$G$10+$J169*$G$5*S$23</f>
        <v>313.50342157767028</v>
      </c>
      <c r="W170">
        <f ca="1">+$J169+$J169*$F$5*$G$10+$J169*$G$5*T$23</f>
        <v>311.83041384985063</v>
      </c>
      <c r="X170">
        <f ca="1">+$J169+$J169*$F$5*$G$10+$J169*$G$5*U$23</f>
        <v>306.09500723906689</v>
      </c>
    </row>
    <row r="171" spans="1:24">
      <c r="A171" s="2">
        <v>46175</v>
      </c>
      <c r="B171">
        <v>314.92840576171881</v>
      </c>
      <c r="C171">
        <f t="shared" si="56"/>
        <v>1.242505460814367E-2</v>
      </c>
      <c r="J171">
        <v>307.07516479492188</v>
      </c>
      <c r="K171">
        <f t="shared" ca="1" si="57"/>
        <v>310.84414990087731</v>
      </c>
      <c r="L171">
        <f t="shared" ca="1" si="58"/>
        <v>-3.7689851059554371</v>
      </c>
      <c r="M171">
        <f t="shared" ca="1" si="59"/>
        <v>14.205248728913917</v>
      </c>
      <c r="N171">
        <f t="shared" ca="1" si="60"/>
        <v>1.2273819370812775E-2</v>
      </c>
      <c r="O171">
        <f ca="1">+$J170+$J170*$F$5*$G$10+$J170*$G$5*L$23</f>
        <v>312.26029406038583</v>
      </c>
      <c r="P171">
        <f ca="1">+$J170+$J170*$F$5*$G$10+$J170*$G$5*M$23</f>
        <v>310.64484516302196</v>
      </c>
      <c r="Q171">
        <f ca="1">+$J170+$J170*$F$5*$G$10+$J170*$G$5*N$23</f>
        <v>310.93381694045178</v>
      </c>
      <c r="R171">
        <f ca="1">+$J170+$J170*$F$5*$G$10+$J170*$G$5*O$23</f>
        <v>310.50373900522322</v>
      </c>
      <c r="S171">
        <f ca="1">+$J170+$J170*$F$5*$G$10+$J170*$G$5*P$23</f>
        <v>308.88368275819585</v>
      </c>
      <c r="T171">
        <f ca="1">+$J170+$J170*$F$5*$G$10+$J170*$G$5*Q$23</f>
        <v>308.95135257186701</v>
      </c>
      <c r="U171">
        <f ca="1">+$J170+$J170*$F$5*$G$10+$J170*$G$5*R$23</f>
        <v>311.92285791349201</v>
      </c>
      <c r="V171">
        <f ca="1">+$J170+$J170*$F$5*$G$10+$J170*$G$5*S$23</f>
        <v>314.48357509875518</v>
      </c>
      <c r="W171">
        <f ca="1">+$J170+$J170*$F$5*$G$10+$J170*$G$5*T$23</f>
        <v>312.80533679192951</v>
      </c>
      <c r="X171">
        <f ca="1">+$J170+$J170*$F$5*$G$10+$J170*$G$5*U$23</f>
        <v>307.0519987054505</v>
      </c>
    </row>
    <row r="172" spans="1:24">
      <c r="A172" s="2">
        <v>46176</v>
      </c>
      <c r="B172">
        <v>309.99264526367188</v>
      </c>
      <c r="C172">
        <f t="shared" si="56"/>
        <v>-6.8604445946210679E-3</v>
      </c>
      <c r="J172">
        <v>301.28018188476563</v>
      </c>
      <c r="K172">
        <f t="shared" ca="1" si="57"/>
        <v>306.95896295549795</v>
      </c>
      <c r="L172">
        <f t="shared" ca="1" si="58"/>
        <v>-5.6787810707323274</v>
      </c>
      <c r="M172">
        <f t="shared" ca="1" si="59"/>
        <v>32.248554449307797</v>
      </c>
      <c r="N172">
        <f t="shared" ca="1" si="60"/>
        <v>1.8848837103080218E-2</v>
      </c>
      <c r="O172">
        <f ca="1">+$J171+$J171*$F$5*$G$10+$J171*$G$5*L$23</f>
        <v>308.35740697555383</v>
      </c>
      <c r="P172">
        <f ca="1">+$J171+$J171*$F$5*$G$10+$J171*$G$5*M$23</f>
        <v>306.76214929288375</v>
      </c>
      <c r="Q172">
        <f ca="1">+$J171+$J171*$F$5*$G$10+$J171*$G$5*N$23</f>
        <v>307.04750926234613</v>
      </c>
      <c r="R172">
        <f ca="1">+$J171+$J171*$F$5*$G$10+$J171*$G$5*O$23</f>
        <v>306.62280679640014</v>
      </c>
      <c r="S172">
        <f ca="1">+$J171+$J171*$F$5*$G$10+$J171*$G$5*P$23</f>
        <v>305.02299935052832</v>
      </c>
      <c r="T172">
        <f ca="1">+$J171+$J171*$F$5*$G$10+$J171*$G$5*Q$23</f>
        <v>305.0898233709724</v>
      </c>
      <c r="U172">
        <f ca="1">+$J171+$J171*$F$5*$G$10+$J171*$G$5*R$23</f>
        <v>308.02418838434903</v>
      </c>
      <c r="V172">
        <f ca="1">+$J171+$J171*$F$5*$G$10+$J171*$G$5*S$23</f>
        <v>310.5528996110566</v>
      </c>
      <c r="W172">
        <f ca="1">+$J171+$J171*$F$5*$G$10+$J171*$G$5*T$23</f>
        <v>308.89563731282874</v>
      </c>
      <c r="X172">
        <f ca="1">+$J171+$J171*$F$5*$G$10+$J171*$G$5*U$23</f>
        <v>303.21420919806087</v>
      </c>
    </row>
    <row r="173" spans="1:24">
      <c r="A173" s="2">
        <v>46177</v>
      </c>
      <c r="B173">
        <v>310.96182250976563</v>
      </c>
      <c r="C173">
        <f t="shared" si="56"/>
        <v>1.3556828836729354E-3</v>
      </c>
      <c r="J173">
        <v>290.29962158203119</v>
      </c>
      <c r="K173">
        <f t="shared" ca="1" si="57"/>
        <v>301.16617295362869</v>
      </c>
      <c r="L173">
        <f t="shared" ca="1" si="58"/>
        <v>-10.866551371597495</v>
      </c>
      <c r="M173">
        <f t="shared" ca="1" si="59"/>
        <v>118.0819387115674</v>
      </c>
      <c r="N173">
        <f t="shared" ca="1" si="60"/>
        <v>3.7432192685538476E-2</v>
      </c>
      <c r="O173">
        <f ca="1">+$J172+$J172*$F$5*$G$10+$J172*$G$5*L$23</f>
        <v>302.53822617388659</v>
      </c>
      <c r="P173">
        <f ca="1">+$J172+$J172*$F$5*$G$10+$J172*$G$5*M$23</f>
        <v>300.97307346898162</v>
      </c>
      <c r="Q173">
        <f ca="1">+$J172+$J172*$F$5*$G$10+$J172*$G$5*N$23</f>
        <v>301.25304825482817</v>
      </c>
      <c r="R173">
        <f ca="1">+$J172+$J172*$F$5*$G$10+$J172*$G$5*O$23</f>
        <v>300.83636058074495</v>
      </c>
      <c r="S173">
        <f ca="1">+$J172+$J172*$F$5*$G$10+$J172*$G$5*P$23</f>
        <v>299.26674397370101</v>
      </c>
      <c r="T173">
        <f ca="1">+$J172+$J172*$F$5*$G$10+$J172*$G$5*Q$23</f>
        <v>299.33230692161027</v>
      </c>
      <c r="U173">
        <f ca="1">+$J172+$J172*$F$5*$G$10+$J172*$G$5*R$23</f>
        <v>302.21129593245007</v>
      </c>
      <c r="V173">
        <f ca="1">+$J172+$J172*$F$5*$G$10+$J172*$G$5*S$23</f>
        <v>304.69228647046799</v>
      </c>
      <c r="W173">
        <f ca="1">+$J172+$J172*$F$5*$G$10+$J172*$G$5*T$23</f>
        <v>303.06629927292204</v>
      </c>
      <c r="X173">
        <f ca="1">+$J172+$J172*$F$5*$G$10+$J172*$G$5*U$23</f>
        <v>297.4920884866944</v>
      </c>
    </row>
    <row r="174" spans="1:24">
      <c r="A174" s="2">
        <v>46178</v>
      </c>
      <c r="B174">
        <v>307.07516479492188</v>
      </c>
      <c r="C174">
        <f t="shared" si="56"/>
        <v>-5.4623793898911956E-3</v>
      </c>
      <c r="J174">
        <v>291.3287353515625</v>
      </c>
      <c r="K174">
        <f t="shared" ca="1" si="57"/>
        <v>290.18976785929715</v>
      </c>
      <c r="L174">
        <f t="shared" ca="1" si="58"/>
        <v>1.1389674922653512</v>
      </c>
      <c r="M174">
        <f t="shared" ca="1" si="59"/>
        <v>1.2972469484372229</v>
      </c>
      <c r="N174">
        <f t="shared" ca="1" si="60"/>
        <v>3.9095611041969347E-3</v>
      </c>
      <c r="O174">
        <f ca="1">+$J173+$J173*$F$5*$G$10+$J173*$G$5*L$23</f>
        <v>291.51181475975875</v>
      </c>
      <c r="P174">
        <f ca="1">+$J173+$J173*$F$5*$G$10+$J173*$G$5*M$23</f>
        <v>290.0037061443511</v>
      </c>
      <c r="Q174">
        <f ca="1">+$J173+$J173*$F$5*$G$10+$J173*$G$5*N$23</f>
        <v>290.27347687362811</v>
      </c>
      <c r="R174">
        <f ca="1">+$J173+$J173*$F$5*$G$10+$J173*$G$5*O$23</f>
        <v>289.87197594068414</v>
      </c>
      <c r="S174">
        <f ca="1">+$J173+$J173*$F$5*$G$10+$J173*$G$5*P$23</f>
        <v>288.35956611603791</v>
      </c>
      <c r="T174">
        <f ca="1">+$J173+$J173*$F$5*$G$10+$J173*$G$5*Q$23</f>
        <v>288.42273953437825</v>
      </c>
      <c r="U174">
        <f ca="1">+$J173+$J173*$F$5*$G$10+$J173*$G$5*R$23</f>
        <v>291.19679992944691</v>
      </c>
      <c r="V174">
        <f ca="1">+$J173+$J173*$F$5*$G$10+$J173*$G$5*S$23</f>
        <v>293.58736743982729</v>
      </c>
      <c r="W174">
        <f ca="1">+$J173+$J173*$F$5*$G$10+$J173*$G$5*T$23</f>
        <v>292.02064152645357</v>
      </c>
      <c r="X174">
        <f ca="1">+$J173+$J173*$F$5*$G$10+$J173*$G$5*U$23</f>
        <v>286.64959032840534</v>
      </c>
    </row>
    <row r="175" spans="1:24">
      <c r="A175" s="2">
        <v>46181</v>
      </c>
      <c r="B175">
        <v>301.28018188476563</v>
      </c>
      <c r="C175">
        <f t="shared" si="56"/>
        <v>-8.2741287293816249E-3</v>
      </c>
      <c r="J175">
        <v>295.375244140625</v>
      </c>
      <c r="K175">
        <f t="shared" ca="1" si="57"/>
        <v>291.21849219677176</v>
      </c>
      <c r="L175">
        <f t="shared" ca="1" si="58"/>
        <v>4.1567519438532372</v>
      </c>
      <c r="M175">
        <f t="shared" ca="1" si="59"/>
        <v>17.278586722727667</v>
      </c>
      <c r="N175">
        <f t="shared" ca="1" si="60"/>
        <v>1.4072783776944597E-2</v>
      </c>
      <c r="O175">
        <f ca="1">+$J174+$J174*$F$5*$G$10+$J174*$G$5*L$23</f>
        <v>292.54522576083218</v>
      </c>
      <c r="P175">
        <f ca="1">+$J174+$J174*$F$5*$G$10+$J174*$G$5*M$23</f>
        <v>291.03177089201364</v>
      </c>
      <c r="Q175">
        <f ca="1">+$J174+$J174*$F$5*$G$10+$J174*$G$5*N$23</f>
        <v>291.30249796002306</v>
      </c>
      <c r="R175">
        <f ca="1">+$J174+$J174*$F$5*$G$10+$J174*$G$5*O$23</f>
        <v>290.89957370404369</v>
      </c>
      <c r="S175">
        <f ca="1">+$J174+$J174*$F$5*$G$10+$J174*$G$5*P$23</f>
        <v>289.38180237817596</v>
      </c>
      <c r="T175">
        <f ca="1">+$J174+$J174*$F$5*$G$10+$J174*$G$5*Q$23</f>
        <v>289.44519974663484</v>
      </c>
      <c r="U175">
        <f ca="1">+$J174+$J174*$F$5*$G$10+$J174*$G$5*R$23</f>
        <v>292.22909420119873</v>
      </c>
      <c r="V175">
        <f ca="1">+$J174+$J174*$F$5*$G$10+$J174*$G$5*S$23</f>
        <v>294.62813628666993</v>
      </c>
      <c r="W175">
        <f ca="1">+$J174+$J174*$F$5*$G$10+$J174*$G$5*T$23</f>
        <v>293.05585632123871</v>
      </c>
      <c r="X175">
        <f ca="1">+$J174+$J174*$F$5*$G$10+$J174*$G$5*U$23</f>
        <v>287.6657647168866</v>
      </c>
    </row>
    <row r="176" spans="1:24">
      <c r="A176" s="2">
        <v>46182</v>
      </c>
      <c r="B176">
        <v>290.29962158203119</v>
      </c>
      <c r="C176">
        <f t="shared" si="56"/>
        <v>-1.6124095148398035E-2</v>
      </c>
      <c r="J176">
        <v>290.879150390625</v>
      </c>
      <c r="K176">
        <f t="shared" ca="1" si="57"/>
        <v>295.2634697263303</v>
      </c>
      <c r="L176">
        <f t="shared" ca="1" si="58"/>
        <v>-4.3843193357052996</v>
      </c>
      <c r="M176">
        <f t="shared" ca="1" si="59"/>
        <v>19.222256037439362</v>
      </c>
      <c r="N176">
        <f t="shared" ca="1" si="60"/>
        <v>1.507264900154427E-2</v>
      </c>
      <c r="O176">
        <f ca="1">+$J175+$J175*$F$5*$G$10+$J175*$G$5*L$23</f>
        <v>296.60863140398288</v>
      </c>
      <c r="P176">
        <f ca="1">+$J175+$J175*$F$5*$G$10+$J175*$G$5*M$23</f>
        <v>295.07415489299387</v>
      </c>
      <c r="Q176">
        <f ca="1">+$J175+$J175*$F$5*$G$10+$J175*$G$5*N$23</f>
        <v>295.34864231598101</v>
      </c>
      <c r="R176">
        <f ca="1">+$J175+$J175*$F$5*$G$10+$J175*$G$5*O$23</f>
        <v>294.94012150756686</v>
      </c>
      <c r="S176">
        <f ca="1">+$J175+$J175*$F$5*$G$10+$J175*$G$5*P$23</f>
        <v>293.4012685846418</v>
      </c>
      <c r="T176">
        <f ca="1">+$J175+$J175*$F$5*$G$10+$J175*$G$5*Q$23</f>
        <v>293.46554653224564</v>
      </c>
      <c r="U176">
        <f ca="1">+$J175+$J175*$F$5*$G$10+$J175*$G$5*R$23</f>
        <v>296.28810882836189</v>
      </c>
      <c r="V176">
        <f ca="1">+$J175+$J175*$F$5*$G$10+$J175*$G$5*S$23</f>
        <v>298.7204732185225</v>
      </c>
      <c r="W176">
        <f ca="1">+$J175+$J175*$F$5*$G$10+$J175*$G$5*T$23</f>
        <v>297.12635453988884</v>
      </c>
      <c r="X176">
        <f ca="1">+$J175+$J175*$F$5*$G$10+$J175*$G$5*U$23</f>
        <v>291.66139543911714</v>
      </c>
    </row>
    <row r="177" spans="1:24">
      <c r="A177" s="2">
        <v>46183</v>
      </c>
      <c r="B177">
        <v>291.3287353515625</v>
      </c>
      <c r="C177">
        <f t="shared" si="56"/>
        <v>1.53685387734217E-3</v>
      </c>
      <c r="J177">
        <v>296.16458129882813</v>
      </c>
      <c r="K177">
        <f t="shared" ca="1" si="57"/>
        <v>290.76907736551397</v>
      </c>
      <c r="L177">
        <f t="shared" ca="1" si="58"/>
        <v>5.3955039333141599</v>
      </c>
      <c r="M177">
        <f t="shared" ca="1" si="59"/>
        <v>29.111462694408569</v>
      </c>
      <c r="N177">
        <f t="shared" ca="1" si="60"/>
        <v>1.8217924336705649E-2</v>
      </c>
      <c r="O177">
        <f ca="1">+$J176+$J176*$F$5*$G$10+$J176*$G$5*L$23</f>
        <v>292.09376348493481</v>
      </c>
      <c r="P177">
        <f ca="1">+$J176+$J176*$F$5*$G$10+$J176*$G$5*M$23</f>
        <v>290.58264421321161</v>
      </c>
      <c r="Q177">
        <f ca="1">+$J176+$J176*$F$5*$G$10+$J176*$G$5*N$23</f>
        <v>290.85295348920965</v>
      </c>
      <c r="R177">
        <f ca="1">+$J176+$J176*$F$5*$G$10+$J176*$G$5*O$23</f>
        <v>290.4506510348719</v>
      </c>
      <c r="S177">
        <f ca="1">+$J176+$J176*$F$5*$G$10+$J176*$G$5*P$23</f>
        <v>288.93522196735171</v>
      </c>
      <c r="T177">
        <f ca="1">+$J176+$J176*$F$5*$G$10+$J176*$G$5*Q$23</f>
        <v>288.99852149958656</v>
      </c>
      <c r="U177">
        <f ca="1">+$J176+$J176*$F$5*$G$10+$J176*$G$5*R$23</f>
        <v>291.7781197865304</v>
      </c>
      <c r="V177">
        <f ca="1">+$J176+$J176*$F$5*$G$10+$J176*$G$5*S$23</f>
        <v>294.17345961708673</v>
      </c>
      <c r="W177">
        <f ca="1">+$J176+$J176*$F$5*$G$10+$J176*$G$5*T$23</f>
        <v>292.60360602894366</v>
      </c>
      <c r="X177">
        <f ca="1">+$J176+$J176*$F$5*$G$10+$J176*$G$5*U$23</f>
        <v>287.22183253341279</v>
      </c>
    </row>
    <row r="178" spans="1:24">
      <c r="A178" s="2">
        <v>46184</v>
      </c>
      <c r="B178">
        <v>295.375244140625</v>
      </c>
      <c r="C178">
        <f t="shared" si="56"/>
        <v>5.9907700160971777E-3</v>
      </c>
      <c r="J178">
        <v>298.98214721679688</v>
      </c>
      <c r="K178">
        <f t="shared" ca="1" si="57"/>
        <v>296.05250818753592</v>
      </c>
      <c r="L178">
        <f t="shared" ca="1" si="58"/>
        <v>2.9296390292609544</v>
      </c>
      <c r="M178">
        <f t="shared" ca="1" si="59"/>
        <v>8.5827848417690671</v>
      </c>
      <c r="N178">
        <f t="shared" ca="1" si="60"/>
        <v>9.7987089079824719E-3</v>
      </c>
      <c r="O178">
        <f ca="1">+$J177+$J177*$F$5*$G$10+$J177*$G$5*L$23</f>
        <v>297.40126456757821</v>
      </c>
      <c r="P178">
        <f ca="1">+$J177+$J177*$F$5*$G$10+$J177*$G$5*M$23</f>
        <v>295.86268744439326</v>
      </c>
      <c r="Q178">
        <f ca="1">+$J177+$J177*$F$5*$G$10+$J177*$G$5*N$23</f>
        <v>296.13790838559737</v>
      </c>
      <c r="R178">
        <f ca="1">+$J177+$J177*$F$5*$G$10+$J177*$G$5*O$23</f>
        <v>295.72829587887617</v>
      </c>
      <c r="S178">
        <f ca="1">+$J177+$J177*$F$5*$G$10+$J177*$G$5*P$23</f>
        <v>294.18533064858218</v>
      </c>
      <c r="T178">
        <f ca="1">+$J177+$J177*$F$5*$G$10+$J177*$G$5*Q$23</f>
        <v>294.24978036742783</v>
      </c>
      <c r="U178">
        <f ca="1">+$J177+$J177*$F$5*$G$10+$J177*$G$5*R$23</f>
        <v>297.07988545308336</v>
      </c>
      <c r="V178">
        <f ca="1">+$J177+$J177*$F$5*$G$10+$J177*$G$5*S$23</f>
        <v>299.51874989913404</v>
      </c>
      <c r="W178">
        <f ca="1">+$J177+$J177*$F$5*$G$10+$J177*$G$5*T$23</f>
        <v>297.92037122534981</v>
      </c>
      <c r="X178">
        <f ca="1">+$J177+$J177*$F$5*$G$10+$J177*$G$5*U$23</f>
        <v>292.44080800533703</v>
      </c>
    </row>
    <row r="179" spans="1:24">
      <c r="A179" s="2">
        <v>46185</v>
      </c>
      <c r="B179">
        <v>290.879150390625</v>
      </c>
      <c r="C179">
        <f t="shared" si="56"/>
        <v>-6.6615005619152477E-3</v>
      </c>
      <c r="J179">
        <v>295.69497680664063</v>
      </c>
      <c r="K179">
        <f t="shared" ca="1" si="57"/>
        <v>298.86900789638099</v>
      </c>
      <c r="L179">
        <f t="shared" ca="1" si="58"/>
        <v>-3.1740310897403674</v>
      </c>
      <c r="M179">
        <f t="shared" ca="1" si="59"/>
        <v>10.074473358638425</v>
      </c>
      <c r="N179">
        <f t="shared" ca="1" si="60"/>
        <v>1.0734139362184411E-2</v>
      </c>
      <c r="O179">
        <f ca="1">+$J178+$J178*$F$5*$G$10+$J178*$G$5*L$23</f>
        <v>300.23059568925254</v>
      </c>
      <c r="P179">
        <f ca="1">+$J178+$J178*$F$5*$G$10+$J178*$G$5*M$23</f>
        <v>298.67738129092334</v>
      </c>
      <c r="Q179">
        <f ca="1">+$J178+$J178*$F$5*$G$10+$J178*$G$5*N$23</f>
        <v>298.95522055043023</v>
      </c>
      <c r="R179">
        <f ca="1">+$J178+$J178*$F$5*$G$10+$J178*$G$5*O$23</f>
        <v>298.54171118935375</v>
      </c>
      <c r="S179">
        <f ca="1">+$J178+$J178*$F$5*$G$10+$J178*$G$5*P$23</f>
        <v>296.98406693759665</v>
      </c>
      <c r="T179">
        <f ca="1">+$J178+$J178*$F$5*$G$10+$J178*$G$5*Q$23</f>
        <v>297.04912979975086</v>
      </c>
      <c r="U179">
        <f ca="1">+$J178+$J178*$F$5*$G$10+$J178*$G$5*R$23</f>
        <v>299.90615913002279</v>
      </c>
      <c r="V179">
        <f ca="1">+$J178+$J178*$F$5*$G$10+$J178*$G$5*S$23</f>
        <v>302.36822574735135</v>
      </c>
      <c r="W179">
        <f ca="1">+$J178+$J178*$F$5*$G$10+$J178*$G$5*T$23</f>
        <v>300.75464087552848</v>
      </c>
      <c r="X179">
        <f ca="1">+$J178+$J178*$F$5*$G$10+$J178*$G$5*U$23</f>
        <v>295.22294775359984</v>
      </c>
    </row>
    <row r="180" spans="1:24">
      <c r="A180" s="2">
        <v>46188</v>
      </c>
      <c r="B180">
        <v>296.16458129882813</v>
      </c>
      <c r="C180">
        <f t="shared" si="56"/>
        <v>7.8205264157572563E-3</v>
      </c>
      <c r="J180">
        <v>297.75320434570313</v>
      </c>
      <c r="K180">
        <f t="shared" ca="1" si="57"/>
        <v>295.58308140071847</v>
      </c>
      <c r="L180">
        <f t="shared" ca="1" si="58"/>
        <v>2.1701229449846551</v>
      </c>
      <c r="M180">
        <f t="shared" ca="1" si="59"/>
        <v>4.7094335963488723</v>
      </c>
      <c r="N180">
        <f t="shared" ca="1" si="60"/>
        <v>7.2883277604128063E-3</v>
      </c>
      <c r="O180">
        <f ca="1">+$J179+$J179*$F$5*$G$10+$J179*$G$5*L$23</f>
        <v>296.92969916562942</v>
      </c>
      <c r="P180">
        <f ca="1">+$J179+$J179*$F$5*$G$10+$J179*$G$5*M$23</f>
        <v>295.39356164114821</v>
      </c>
      <c r="Q180">
        <f ca="1">+$J179+$J179*$F$5*$G$10+$J179*$G$5*N$23</f>
        <v>295.66834618651535</v>
      </c>
      <c r="R180">
        <f ca="1">+$J179+$J179*$F$5*$G$10+$J179*$G$5*O$23</f>
        <v>295.25938316958923</v>
      </c>
      <c r="S180">
        <f ca="1">+$J179+$J179*$F$5*$G$10+$J179*$G$5*P$23</f>
        <v>293.71886449586941</v>
      </c>
      <c r="T180">
        <f ca="1">+$J179+$J179*$F$5*$G$10+$J179*$G$5*Q$23</f>
        <v>293.78321202195002</v>
      </c>
      <c r="U180">
        <f ca="1">+$J179+$J179*$F$5*$G$10+$J179*$G$5*R$23</f>
        <v>296.60882963629564</v>
      </c>
      <c r="V180">
        <f ca="1">+$J179+$J179*$F$5*$G$10+$J179*$G$5*S$23</f>
        <v>299.04382697003098</v>
      </c>
      <c r="W180">
        <f ca="1">+$J179+$J179*$F$5*$G$10+$J179*$G$5*T$23</f>
        <v>297.44798271748692</v>
      </c>
      <c r="X180">
        <f ca="1">+$J179+$J179*$F$5*$G$10+$J179*$G$5*U$23</f>
        <v>291.97710800266964</v>
      </c>
    </row>
    <row r="181" spans="1:24">
      <c r="A181" s="2">
        <v>46189</v>
      </c>
      <c r="B181">
        <v>298.98214721679688</v>
      </c>
      <c r="C181">
        <f t="shared" si="56"/>
        <v>4.1121371049559416E-3</v>
      </c>
      <c r="J181">
        <v>296.75408935546881</v>
      </c>
      <c r="K181">
        <f t="shared" ca="1" si="57"/>
        <v>297.64053007566758</v>
      </c>
      <c r="L181">
        <f t="shared" ca="1" si="58"/>
        <v>-0.8864407201987774</v>
      </c>
      <c r="M181">
        <f t="shared" ca="1" si="59"/>
        <v>0.78577715042652718</v>
      </c>
      <c r="N181">
        <f t="shared" ca="1" si="60"/>
        <v>2.9871221728538632E-3</v>
      </c>
      <c r="O181">
        <f ca="1">+$J180+$J180*$F$5*$G$10+$J180*$G$5*L$23</f>
        <v>298.99652116777622</v>
      </c>
      <c r="P181">
        <f ca="1">+$J180+$J180*$F$5*$G$10+$J180*$G$5*M$23</f>
        <v>297.44969113647323</v>
      </c>
      <c r="Q181">
        <f ca="1">+$J180+$J180*$F$5*$G$10+$J180*$G$5*N$23</f>
        <v>297.72638835930513</v>
      </c>
      <c r="R181">
        <f ca="1">+$J180+$J180*$F$5*$G$10+$J180*$G$5*O$23</f>
        <v>297.31457869630816</v>
      </c>
      <c r="S181">
        <f ca="1">+$J180+$J180*$F$5*$G$10+$J180*$G$5*P$23</f>
        <v>295.76333702014534</v>
      </c>
      <c r="T181">
        <f ca="1">+$J180+$J180*$F$5*$G$10+$J180*$G$5*Q$23</f>
        <v>295.82813244646309</v>
      </c>
      <c r="U181">
        <f ca="1">+$J180+$J180*$F$5*$G$10+$J180*$G$5*R$23</f>
        <v>298.67341817979917</v>
      </c>
      <c r="V181">
        <f ca="1">+$J180+$J180*$F$5*$G$10+$J180*$G$5*S$23</f>
        <v>301.12536466371614</v>
      </c>
      <c r="W181">
        <f ca="1">+$J180+$J180*$F$5*$G$10+$J180*$G$5*T$23</f>
        <v>299.51841230705708</v>
      </c>
      <c r="X181">
        <f ca="1">+$J180+$J180*$F$5*$G$10+$J180*$G$5*U$23</f>
        <v>294.00945677963216</v>
      </c>
    </row>
    <row r="182" spans="1:24">
      <c r="A182" s="2">
        <v>46190</v>
      </c>
      <c r="B182">
        <v>295.69497680664063</v>
      </c>
      <c r="C182">
        <f t="shared" si="56"/>
        <v>-4.8013096616508115E-3</v>
      </c>
      <c r="J182">
        <v>294.04638671875</v>
      </c>
      <c r="K182">
        <f t="shared" ca="1" si="57"/>
        <v>296.64179316550275</v>
      </c>
      <c r="L182">
        <f t="shared" ca="1" si="58"/>
        <v>-2.5954064467527473</v>
      </c>
      <c r="M182">
        <f t="shared" ca="1" si="59"/>
        <v>6.7361346238457216</v>
      </c>
      <c r="N182">
        <f t="shared" ca="1" si="60"/>
        <v>8.8265204538466452E-3</v>
      </c>
      <c r="O182">
        <f ca="1">+$J181+$J181*$F$5*$G$10+$J181*$G$5*L$23</f>
        <v>297.99323421077071</v>
      </c>
      <c r="P182">
        <f ca="1">+$J181+$J181*$F$5*$G$10+$J181*$G$5*M$23</f>
        <v>296.45159458900503</v>
      </c>
      <c r="Q182">
        <f ca="1">+$J181+$J181*$F$5*$G$10+$J181*$G$5*N$23</f>
        <v>296.72736335048359</v>
      </c>
      <c r="R182">
        <f ca="1">+$J181+$J181*$F$5*$G$10+$J181*$G$5*O$23</f>
        <v>296.31693552049933</v>
      </c>
      <c r="S182">
        <f ca="1">+$J181+$J181*$F$5*$G$10+$J181*$G$5*P$23</f>
        <v>294.77089905720919</v>
      </c>
      <c r="T182">
        <f ca="1">+$J181+$J181*$F$5*$G$10+$J181*$G$5*Q$23</f>
        <v>294.8354770615789</v>
      </c>
      <c r="U182">
        <f ca="1">+$J181+$J181*$F$5*$G$10+$J181*$G$5*R$23</f>
        <v>297.67121539933305</v>
      </c>
      <c r="V182">
        <f ca="1">+$J181+$J181*$F$5*$G$10+$J181*$G$5*S$23</f>
        <v>300.11493434295289</v>
      </c>
      <c r="W182">
        <f ca="1">+$J181+$J181*$F$5*$G$10+$J181*$G$5*T$23</f>
        <v>298.51337413712446</v>
      </c>
      <c r="X182">
        <f ca="1">+$J181+$J181*$F$5*$G$10+$J181*$G$5*U$23</f>
        <v>293.0229039860705</v>
      </c>
    </row>
    <row r="183" spans="1:24">
      <c r="A183" s="2">
        <v>46191</v>
      </c>
      <c r="B183">
        <v>297.75320434570313</v>
      </c>
      <c r="C183">
        <f t="shared" si="56"/>
        <v>3.0124970476295304E-3</v>
      </c>
      <c r="J183">
        <v>292.82742309570313</v>
      </c>
      <c r="K183">
        <f t="shared" ca="1" si="57"/>
        <v>293.9351151639973</v>
      </c>
      <c r="L183">
        <f t="shared" ca="1" si="58"/>
        <v>-1.1076920682941704</v>
      </c>
      <c r="M183">
        <f t="shared" ca="1" si="59"/>
        <v>1.2269817181618172</v>
      </c>
      <c r="N183">
        <f t="shared" ca="1" si="60"/>
        <v>3.7827470411886583E-3</v>
      </c>
      <c r="O183">
        <f ca="1">+$J182+$J182*$F$5*$G$10+$J182*$G$5*L$23</f>
        <v>295.27422512230504</v>
      </c>
      <c r="P183">
        <f ca="1">+$J182+$J182*$F$5*$G$10+$J182*$G$5*M$23</f>
        <v>293.74665203514991</v>
      </c>
      <c r="Q183">
        <f ca="1">+$J182+$J182*$F$5*$G$10+$J182*$G$5*N$23</f>
        <v>294.01990457249082</v>
      </c>
      <c r="R183">
        <f ca="1">+$J182+$J182*$F$5*$G$10+$J182*$G$5*O$23</f>
        <v>293.61322164967817</v>
      </c>
      <c r="S183">
        <f ca="1">+$J182+$J182*$F$5*$G$10+$J182*$G$5*P$23</f>
        <v>292.08129183953372</v>
      </c>
      <c r="T183">
        <f ca="1">+$J182+$J182*$F$5*$G$10+$J182*$G$5*Q$23</f>
        <v>292.14528060844225</v>
      </c>
      <c r="U183">
        <f ca="1">+$J182+$J182*$F$5*$G$10+$J182*$G$5*R$23</f>
        <v>294.95514453890223</v>
      </c>
      <c r="V183">
        <f ca="1">+$J182+$J182*$F$5*$G$10+$J182*$G$5*S$23</f>
        <v>297.37656601649087</v>
      </c>
      <c r="W183">
        <f ca="1">+$J182+$J182*$F$5*$G$10+$J182*$G$5*T$23</f>
        <v>295.78961908457421</v>
      </c>
      <c r="X183">
        <f ca="1">+$J182+$J182*$F$5*$G$10+$J182*$G$5*U$23</f>
        <v>290.3492461724062</v>
      </c>
    </row>
    <row r="184" spans="1:24">
      <c r="A184" s="2">
        <v>46195</v>
      </c>
      <c r="B184">
        <v>296.75408935546881</v>
      </c>
      <c r="C184">
        <f t="shared" si="56"/>
        <v>-1.4597315799030489E-3</v>
      </c>
      <c r="J184">
        <v>274.91290283203119</v>
      </c>
      <c r="K184">
        <f t="shared" ca="1" si="57"/>
        <v>292.7166128150339</v>
      </c>
      <c r="L184">
        <f t="shared" ca="1" si="58"/>
        <v>-17.803709983002705</v>
      </c>
      <c r="M184">
        <f t="shared" ca="1" si="59"/>
        <v>316.97208915887018</v>
      </c>
      <c r="N184">
        <f t="shared" ca="1" si="60"/>
        <v>6.4761274569497304E-2</v>
      </c>
      <c r="O184">
        <f ca="1">+$J183+$J183*$F$5*$G$10+$J183*$G$5*L$23</f>
        <v>294.05017151884516</v>
      </c>
      <c r="P184">
        <f ca="1">+$J183+$J183*$F$5*$G$10+$J183*$G$5*M$23</f>
        <v>292.52893095645101</v>
      </c>
      <c r="Q184">
        <f ca="1">+$J183+$J183*$F$5*$G$10+$J183*$G$5*N$23</f>
        <v>292.80105073067028</v>
      </c>
      <c r="R184">
        <f ca="1">+$J183+$J183*$F$5*$G$10+$J183*$G$5*O$23</f>
        <v>292.39605370406798</v>
      </c>
      <c r="S184">
        <f ca="1">+$J183+$J183*$F$5*$G$10+$J183*$G$5*P$23</f>
        <v>290.87047447939568</v>
      </c>
      <c r="T184">
        <f ca="1">+$J183+$J183*$F$5*$G$10+$J183*$G$5*Q$23</f>
        <v>290.93419798409718</v>
      </c>
      <c r="U184">
        <f ca="1">+$J183+$J183*$F$5*$G$10+$J183*$G$5*R$23</f>
        <v>293.73241367784476</v>
      </c>
      <c r="V184">
        <f ca="1">+$J183+$J183*$F$5*$G$10+$J183*$G$5*S$23</f>
        <v>296.14379719941502</v>
      </c>
      <c r="W184">
        <f ca="1">+$J183+$J183*$F$5*$G$10+$J183*$G$5*T$23</f>
        <v>294.56342892538731</v>
      </c>
      <c r="X184">
        <f ca="1">+$J183+$J183*$F$5*$G$10+$J183*$G$5*U$23</f>
        <v>289.14560897416447</v>
      </c>
    </row>
    <row r="185" spans="1:24">
      <c r="A185" s="2">
        <v>46196</v>
      </c>
      <c r="B185">
        <v>294.04638671875</v>
      </c>
      <c r="C185">
        <f t="shared" si="56"/>
        <v>-3.980865266649051E-3</v>
      </c>
      <c r="J185">
        <v>283.53546142578119</v>
      </c>
      <c r="K185">
        <f t="shared" ca="1" si="57"/>
        <v>274.80887167401892</v>
      </c>
      <c r="L185">
        <f t="shared" ca="1" si="58"/>
        <v>8.7265897517622761</v>
      </c>
      <c r="M185">
        <f t="shared" ca="1" si="59"/>
        <v>76.153368695562378</v>
      </c>
      <c r="N185">
        <f t="shared" ca="1" si="60"/>
        <v>3.0777771880384584E-2</v>
      </c>
      <c r="O185">
        <f ca="1">+$J184+$J184*$F$5*$G$10+$J184*$G$5*L$23</f>
        <v>276.06084626876799</v>
      </c>
      <c r="P185">
        <f ca="1">+$J184+$J184*$F$5*$G$10+$J184*$G$5*M$23</f>
        <v>274.63267176758092</v>
      </c>
      <c r="Q185">
        <f ca="1">+$J184+$J184*$F$5*$G$10+$J184*$G$5*N$23</f>
        <v>274.88814386871729</v>
      </c>
      <c r="R185">
        <f ca="1">+$J184+$J184*$F$5*$G$10+$J184*$G$5*O$23</f>
        <v>274.50792364533612</v>
      </c>
      <c r="S185">
        <f ca="1">+$J184+$J184*$F$5*$G$10+$J184*$G$5*P$23</f>
        <v>273.07567591142828</v>
      </c>
      <c r="T185">
        <f ca="1">+$J184+$J184*$F$5*$G$10+$J184*$G$5*Q$23</f>
        <v>273.13550095606013</v>
      </c>
      <c r="U185">
        <f ca="1">+$J184+$J184*$F$5*$G$10+$J184*$G$5*R$23</f>
        <v>275.76252813468221</v>
      </c>
      <c r="V185">
        <f ca="1">+$J184+$J184*$F$5*$G$10+$J184*$G$5*S$23</f>
        <v>278.02638865958784</v>
      </c>
      <c r="W185">
        <f ca="1">+$J184+$J184*$F$5*$G$10+$J184*$G$5*T$23</f>
        <v>276.54270374659865</v>
      </c>
      <c r="X185">
        <f ca="1">+$J184+$J184*$F$5*$G$10+$J184*$G$5*U$23</f>
        <v>271.45633378142918</v>
      </c>
    </row>
    <row r="186" spans="1:24">
      <c r="A186" s="2">
        <v>46197</v>
      </c>
      <c r="B186">
        <v>292.82742309570313</v>
      </c>
      <c r="C186">
        <f t="shared" si="56"/>
        <v>-1.8041014186060999E-3</v>
      </c>
      <c r="J186">
        <v>281.49722290039063</v>
      </c>
      <c r="K186">
        <f t="shared" ca="1" si="57"/>
        <v>283.42816736251308</v>
      </c>
      <c r="L186">
        <f t="shared" ca="1" si="58"/>
        <v>-1.9309444621224543</v>
      </c>
      <c r="M186">
        <f t="shared" ca="1" si="59"/>
        <v>3.7285465158013742</v>
      </c>
      <c r="N186">
        <f t="shared" ca="1" si="60"/>
        <v>6.8595506635094937E-3</v>
      </c>
      <c r="O186">
        <f ca="1">+$J185+$J185*$F$5*$G$10+$J185*$G$5*L$23</f>
        <v>284.7194097551353</v>
      </c>
      <c r="P186">
        <f ca="1">+$J185+$J185*$F$5*$G$10+$J185*$G$5*M$23</f>
        <v>283.24644100023471</v>
      </c>
      <c r="Q186">
        <f ca="1">+$J185+$J185*$F$5*$G$10+$J185*$G$5*N$23</f>
        <v>283.50992590520246</v>
      </c>
      <c r="R186">
        <f ca="1">+$J185+$J185*$F$5*$G$10+$J185*$G$5*O$23</f>
        <v>283.11778019152655</v>
      </c>
      <c r="S186">
        <f ca="1">+$J185+$J185*$F$5*$G$10+$J185*$G$5*P$23</f>
        <v>281.64061044821432</v>
      </c>
      <c r="T186">
        <f ca="1">+$J185+$J185*$F$5*$G$10+$J185*$G$5*Q$23</f>
        <v>281.7023118869601</v>
      </c>
      <c r="U186">
        <f ca="1">+$J185+$J185*$F$5*$G$10+$J185*$G$5*R$23</f>
        <v>284.41173496458038</v>
      </c>
      <c r="V186">
        <f ca="1">+$J185+$J185*$F$5*$G$10+$J185*$G$5*S$23</f>
        <v>286.74660077815378</v>
      </c>
      <c r="W186">
        <f ca="1">+$J185+$J185*$F$5*$G$10+$J185*$G$5*T$23</f>
        <v>285.216380544468</v>
      </c>
      <c r="X186">
        <f ca="1">+$J185+$J185*$F$5*$G$10+$J185*$G$5*U$23</f>
        <v>279.97047815065525</v>
      </c>
    </row>
    <row r="187" spans="1:24">
      <c r="A187" s="2">
        <v>46198</v>
      </c>
      <c r="B187">
        <v>274.91290283203119</v>
      </c>
      <c r="C187">
        <f t="shared" si="56"/>
        <v>-2.7416622074295134E-2</v>
      </c>
      <c r="J187">
        <v>289.11065673828119</v>
      </c>
      <c r="K187">
        <f t="shared" ca="1" si="57"/>
        <v>281.39070013709397</v>
      </c>
      <c r="L187">
        <f t="shared" ca="1" si="58"/>
        <v>7.7199566011872207</v>
      </c>
      <c r="M187">
        <f t="shared" ca="1" si="59"/>
        <v>59.597729924214143</v>
      </c>
      <c r="N187">
        <f t="shared" ca="1" si="60"/>
        <v>2.6702428365259979E-2</v>
      </c>
      <c r="O187">
        <f ca="1">+$J186+$J186*$F$5*$G$10+$J186*$G$5*L$23</f>
        <v>282.67266023403073</v>
      </c>
      <c r="P187">
        <f ca="1">+$J186+$J186*$F$5*$G$10+$J186*$G$5*M$23</f>
        <v>281.2102801428826</v>
      </c>
      <c r="Q187">
        <f ca="1">+$J186+$J186*$F$5*$G$10+$J186*$G$5*N$23</f>
        <v>281.47187094585178</v>
      </c>
      <c r="R187">
        <f ca="1">+$J186+$J186*$F$5*$G$10+$J186*$G$5*O$23</f>
        <v>281.08254423230073</v>
      </c>
      <c r="S187">
        <f ca="1">+$J186+$J186*$F$5*$G$10+$J186*$G$5*P$23</f>
        <v>279.61599335219609</v>
      </c>
      <c r="T187">
        <f ca="1">+$J186+$J186*$F$5*$G$10+$J186*$G$5*Q$23</f>
        <v>279.67725124060462</v>
      </c>
      <c r="U187">
        <f ca="1">+$J186+$J186*$F$5*$G$10+$J186*$G$5*R$23</f>
        <v>282.36719721130282</v>
      </c>
      <c r="V187">
        <f ca="1">+$J186+$J186*$F$5*$G$10+$J186*$G$5*S$23</f>
        <v>284.6852784807881</v>
      </c>
      <c r="W187">
        <f ca="1">+$J186+$J186*$F$5*$G$10+$J186*$G$5*T$23</f>
        <v>283.16605847196644</v>
      </c>
      <c r="X187">
        <f ca="1">+$J186+$J186*$F$5*$G$10+$J186*$G$5*U$23</f>
        <v>277.95786705901565</v>
      </c>
    </row>
    <row r="188" spans="1:24">
      <c r="A188" s="2">
        <v>46199</v>
      </c>
      <c r="B188">
        <v>283.53546142578119</v>
      </c>
      <c r="C188">
        <f t="shared" si="56"/>
        <v>1.3412259684532779E-2</v>
      </c>
      <c r="J188">
        <v>294.1263427734375</v>
      </c>
      <c r="K188">
        <f t="shared" ca="1" si="57"/>
        <v>289.00125293764341</v>
      </c>
      <c r="L188">
        <f t="shared" ca="1" si="58"/>
        <v>5.1250898357940855</v>
      </c>
      <c r="M188">
        <f t="shared" ca="1" si="59"/>
        <v>26.266545824959845</v>
      </c>
      <c r="N188">
        <f t="shared" ca="1" si="60"/>
        <v>1.7424790270288336E-2</v>
      </c>
      <c r="O188">
        <f ca="1">+$J187+$J187*$F$5*$G$10+$J187*$G$5*L$23</f>
        <v>290.31788520036667</v>
      </c>
      <c r="P188">
        <f ca="1">+$J187+$J187*$F$5*$G$10+$J187*$G$5*M$23</f>
        <v>288.81595326584653</v>
      </c>
      <c r="Q188">
        <f ca="1">+$J187+$J187*$F$5*$G$10+$J187*$G$5*N$23</f>
        <v>289.08461910938092</v>
      </c>
      <c r="R188">
        <f ca="1">+$J187+$J187*$F$5*$G$10+$J187*$G$5*O$23</f>
        <v>288.68476258262461</v>
      </c>
      <c r="S188">
        <f ca="1">+$J187+$J187*$F$5*$G$10+$J187*$G$5*P$23</f>
        <v>287.17854705510166</v>
      </c>
      <c r="T188">
        <f ca="1">+$J187+$J187*$F$5*$G$10+$J187*$G$5*Q$23</f>
        <v>287.24146173740553</v>
      </c>
      <c r="U188">
        <f ca="1">+$J187+$J187*$F$5*$G$10+$J187*$G$5*R$23</f>
        <v>290.00416055967503</v>
      </c>
      <c r="V188">
        <f ca="1">+$J187+$J187*$F$5*$G$10+$J187*$G$5*S$23</f>
        <v>292.38493714883077</v>
      </c>
      <c r="W188">
        <f ca="1">+$J187+$J187*$F$5*$G$10+$J187*$G$5*T$23</f>
        <v>290.82462799211913</v>
      </c>
      <c r="X188">
        <f ca="1">+$J187+$J187*$F$5*$G$10+$J187*$G$5*U$23</f>
        <v>285.47557472508316</v>
      </c>
    </row>
    <row r="189" spans="1:24">
      <c r="A189" s="2">
        <v>46202</v>
      </c>
      <c r="B189">
        <v>281.49722290039063</v>
      </c>
      <c r="C189">
        <f t="shared" si="56"/>
        <v>-3.1332686002783238E-3</v>
      </c>
      <c r="J189">
        <v>308.36404418945313</v>
      </c>
      <c r="K189">
        <f t="shared" ca="1" si="57"/>
        <v>294.01504096211676</v>
      </c>
      <c r="L189">
        <f t="shared" ca="1" si="58"/>
        <v>14.349003227336368</v>
      </c>
      <c r="M189">
        <f t="shared" ca="1" si="59"/>
        <v>205.8938936181095</v>
      </c>
      <c r="N189">
        <f t="shared" ca="1" si="60"/>
        <v>4.6532672980902426E-2</v>
      </c>
      <c r="O189">
        <f ca="1">+$J188+$J188*$F$5*$G$10+$J188*$G$5*L$23</f>
        <v>295.35451504647358</v>
      </c>
      <c r="P189">
        <f ca="1">+$J188+$J188*$F$5*$G$10+$J188*$G$5*M$23</f>
        <v>293.82652658704109</v>
      </c>
      <c r="Q189">
        <f ca="1">+$J188+$J188*$F$5*$G$10+$J188*$G$5*N$23</f>
        <v>294.09985342624663</v>
      </c>
      <c r="R189">
        <f ca="1">+$J188+$J188*$F$5*$G$10+$J188*$G$5*O$23</f>
        <v>293.6930599196503</v>
      </c>
      <c r="S189">
        <f ca="1">+$J188+$J188*$F$5*$G$10+$J188*$G$5*P$23</f>
        <v>292.16071355256383</v>
      </c>
      <c r="T189">
        <f ca="1">+$J188+$J188*$F$5*$G$10+$J188*$G$5*Q$23</f>
        <v>292.22471972107229</v>
      </c>
      <c r="U189">
        <f ca="1">+$J188+$J188*$F$5*$G$10+$J188*$G$5*R$23</f>
        <v>295.03534769980575</v>
      </c>
      <c r="V189">
        <f ca="1">+$J188+$J188*$F$5*$G$10+$J188*$G$5*S$23</f>
        <v>297.45742760176836</v>
      </c>
      <c r="W189">
        <f ca="1">+$J188+$J188*$F$5*$G$10+$J188*$G$5*T$23</f>
        <v>295.8700491528482</v>
      </c>
      <c r="X189">
        <f ca="1">+$J188+$J188*$F$5*$G$10+$J188*$G$5*U$23</f>
        <v>290.42819691369732</v>
      </c>
    </row>
    <row r="190" spans="1:24">
      <c r="A190" s="2">
        <v>46203</v>
      </c>
      <c r="B190">
        <v>289.11065673828119</v>
      </c>
      <c r="C190">
        <f t="shared" si="56"/>
        <v>1.1589985546140349E-2</v>
      </c>
      <c r="J190">
        <v>312.39059448242188</v>
      </c>
      <c r="K190">
        <f t="shared" ca="1" si="57"/>
        <v>308.24735461877123</v>
      </c>
      <c r="L190">
        <f t="shared" ca="1" si="58"/>
        <v>4.1432398636506491</v>
      </c>
      <c r="M190">
        <f t="shared" ca="1" si="59"/>
        <v>17.166436567743851</v>
      </c>
      <c r="N190">
        <f t="shared" ca="1" si="60"/>
        <v>1.3263010912717439E-2</v>
      </c>
      <c r="O190">
        <f ca="1">+$J189+$J189*$F$5*$G$10+$J189*$G$5*L$23</f>
        <v>309.65166829514737</v>
      </c>
      <c r="P190">
        <f ca="1">+$J189+$J189*$F$5*$G$10+$J189*$G$5*M$23</f>
        <v>308.04971487478218</v>
      </c>
      <c r="Q190">
        <f ca="1">+$J189+$J189*$F$5*$G$10+$J189*$G$5*N$23</f>
        <v>308.33627257895847</v>
      </c>
      <c r="R190">
        <f ca="1">+$J189+$J189*$F$5*$G$10+$J189*$G$5*O$23</f>
        <v>307.90978751930277</v>
      </c>
      <c r="S190">
        <f ca="1">+$J189+$J189*$F$5*$G$10+$J189*$G$5*P$23</f>
        <v>306.30326523912134</v>
      </c>
      <c r="T190">
        <f ca="1">+$J189+$J189*$F$5*$G$10+$J189*$G$5*Q$23</f>
        <v>306.37036973846079</v>
      </c>
      <c r="U190">
        <f ca="1">+$J189+$J189*$F$5*$G$10+$J189*$G$5*R$23</f>
        <v>309.31705109335695</v>
      </c>
      <c r="V190">
        <f ca="1">+$J189+$J189*$F$5*$G$10+$J189*$G$5*S$23</f>
        <v>311.85637602044949</v>
      </c>
      <c r="W190">
        <f ca="1">+$J189+$J189*$F$5*$G$10+$J189*$G$5*T$23</f>
        <v>310.1921577340064</v>
      </c>
      <c r="X190">
        <f ca="1">+$J189+$J189*$F$5*$G$10+$J189*$G$5*U$23</f>
        <v>304.48688309412626</v>
      </c>
    </row>
    <row r="191" spans="1:24">
      <c r="A191" s="2">
        <v>46204</v>
      </c>
      <c r="B191">
        <v>294.1263427734375</v>
      </c>
      <c r="C191">
        <f t="shared" si="56"/>
        <v>7.4698226311310624E-3</v>
      </c>
      <c r="J191">
        <v>310.39230346679688</v>
      </c>
      <c r="K191">
        <f t="shared" ca="1" si="57"/>
        <v>312.27238120482968</v>
      </c>
      <c r="L191">
        <f t="shared" ca="1" si="58"/>
        <v>-1.88007773803281</v>
      </c>
      <c r="M191">
        <f t="shared" ca="1" si="59"/>
        <v>3.5346923010465674</v>
      </c>
      <c r="N191">
        <f t="shared" ca="1" si="60"/>
        <v>6.0571016646806921E-3</v>
      </c>
      <c r="O191">
        <f ca="1">+$J190+$J190*$F$5*$G$10+$J190*$G$5*L$23</f>
        <v>313.69503210226509</v>
      </c>
      <c r="P191">
        <f ca="1">+$J190+$J190*$F$5*$G$10+$J190*$G$5*M$23</f>
        <v>312.07216072425979</v>
      </c>
      <c r="Q191">
        <f ca="1">+$J190+$J190*$F$5*$G$10+$J190*$G$5*N$23</f>
        <v>312.36246023630713</v>
      </c>
      <c r="R191">
        <f ca="1">+$J190+$J190*$F$5*$G$10+$J190*$G$5*O$23</f>
        <v>311.93040622795507</v>
      </c>
      <c r="S191">
        <f ca="1">+$J190+$J190*$F$5*$G$10+$J190*$G$5*P$23</f>
        <v>310.30290633096058</v>
      </c>
      <c r="T191">
        <f ca="1">+$J190+$J190*$F$5*$G$10+$J190*$G$5*Q$23</f>
        <v>310.37088706618601</v>
      </c>
      <c r="U191">
        <f ca="1">+$J190+$J190*$F$5*$G$10+$J190*$G$5*R$23</f>
        <v>313.35604554218764</v>
      </c>
      <c r="V191">
        <f ca="1">+$J190+$J190*$F$5*$G$10+$J190*$G$5*S$23</f>
        <v>315.92852841918324</v>
      </c>
      <c r="W191">
        <f ca="1">+$J190+$J190*$F$5*$G$10+$J190*$G$5*T$23</f>
        <v>314.24257913408735</v>
      </c>
      <c r="X191">
        <f ca="1">+$J190+$J190*$F$5*$G$10+$J190*$G$5*U$23</f>
        <v>308.46280626490471</v>
      </c>
    </row>
    <row r="192" spans="1:24">
      <c r="A192" s="2">
        <v>46205</v>
      </c>
      <c r="B192">
        <v>308.36404418945313</v>
      </c>
      <c r="C192">
        <f t="shared" si="56"/>
        <v>2.0529809930613988E-2</v>
      </c>
      <c r="J192">
        <v>313.11996459960938</v>
      </c>
      <c r="K192">
        <f t="shared" ca="1" si="57"/>
        <v>310.27484637244032</v>
      </c>
      <c r="L192">
        <f t="shared" ca="1" si="58"/>
        <v>2.8451182271690527</v>
      </c>
      <c r="M192">
        <f t="shared" ca="1" si="59"/>
        <v>8.0946977265695743</v>
      </c>
      <c r="N192">
        <f t="shared" ca="1" si="60"/>
        <v>9.0863520338191877E-3</v>
      </c>
      <c r="O192">
        <f ca="1">+$J191+$J191*$F$5*$G$10+$J191*$G$5*L$23</f>
        <v>311.68839689823551</v>
      </c>
      <c r="P192">
        <f ca="1">+$J191+$J191*$F$5*$G$10+$J191*$G$5*M$23</f>
        <v>310.07590665638298</v>
      </c>
      <c r="Q192">
        <f ca="1">+$J191+$J191*$F$5*$G$10+$J191*$G$5*N$23</f>
        <v>310.3643491890046</v>
      </c>
      <c r="R192">
        <f ca="1">+$J191+$J191*$F$5*$G$10+$J191*$G$5*O$23</f>
        <v>309.93505893109318</v>
      </c>
      <c r="S192">
        <f ca="1">+$J191+$J191*$F$5*$G$10+$J191*$G$5*P$23</f>
        <v>308.31796977782636</v>
      </c>
      <c r="T192">
        <f ca="1">+$J191+$J191*$F$5*$G$10+$J191*$G$5*Q$23</f>
        <v>308.38551565587352</v>
      </c>
      <c r="U192">
        <f ca="1">+$J191+$J191*$F$5*$G$10+$J191*$G$5*R$23</f>
        <v>311.3515787574683</v>
      </c>
      <c r="V192">
        <f ca="1">+$J191+$J191*$F$5*$G$10+$J191*$G$5*S$23</f>
        <v>313.90760605125575</v>
      </c>
      <c r="W192">
        <f ca="1">+$J191+$J191*$F$5*$G$10+$J191*$G$5*T$23</f>
        <v>312.2324413972234</v>
      </c>
      <c r="X192">
        <f ca="1">+$J191+$J191*$F$5*$G$10+$J191*$G$5*U$23</f>
        <v>306.48964041003984</v>
      </c>
    </row>
    <row r="193" spans="1:24">
      <c r="A193" s="2">
        <v>46209</v>
      </c>
      <c r="B193">
        <v>312.39059448242188</v>
      </c>
      <c r="C193">
        <f t="shared" si="56"/>
        <v>5.6342167767412746E-3</v>
      </c>
      <c r="J193">
        <v>315.947509765625</v>
      </c>
      <c r="K193">
        <f t="shared" ca="1" si="57"/>
        <v>313.0014753174458</v>
      </c>
      <c r="L193">
        <f t="shared" ca="1" si="58"/>
        <v>2.9460344481792049</v>
      </c>
      <c r="M193">
        <f t="shared" ca="1" si="59"/>
        <v>8.6791189698585516</v>
      </c>
      <c r="N193">
        <f t="shared" ca="1" si="60"/>
        <v>9.3244426910173185E-3</v>
      </c>
      <c r="O193">
        <f ca="1">+$J192+$J192*$F$5*$G$10+$J192*$G$5*L$23</f>
        <v>314.42744782273405</v>
      </c>
      <c r="P193">
        <f ca="1">+$J192+$J192*$F$5*$G$10+$J192*$G$5*M$23</f>
        <v>312.80078736174073</v>
      </c>
      <c r="Q193">
        <f ca="1">+$J192+$J192*$F$5*$G$10+$J192*$G$5*N$23</f>
        <v>313.09176466560666</v>
      </c>
      <c r="R193">
        <f ca="1">+$J192+$J192*$F$5*$G$10+$J192*$G$5*O$23</f>
        <v>312.65870189678526</v>
      </c>
      <c r="S193">
        <f ca="1">+$J192+$J192*$F$5*$G$10+$J192*$G$5*P$23</f>
        <v>311.02740211012838</v>
      </c>
      <c r="T193">
        <f ca="1">+$J192+$J192*$F$5*$G$10+$J192*$G$5*Q$23</f>
        <v>311.09554156689569</v>
      </c>
      <c r="U193">
        <f ca="1">+$J192+$J192*$F$5*$G$10+$J192*$G$5*R$23</f>
        <v>314.08766979623147</v>
      </c>
      <c r="V193">
        <f ca="1">+$J192+$J192*$F$5*$G$10+$J192*$G$5*S$23</f>
        <v>316.66615891083666</v>
      </c>
      <c r="W193">
        <f ca="1">+$J192+$J192*$F$5*$G$10+$J192*$G$5*T$23</f>
        <v>314.97627326834282</v>
      </c>
      <c r="X193">
        <f ca="1">+$J192+$J192*$F$5*$G$10+$J192*$G$5*U$23</f>
        <v>309.18300577515618</v>
      </c>
    </row>
    <row r="194" spans="1:24">
      <c r="A194" s="2">
        <v>46210</v>
      </c>
      <c r="B194">
        <v>310.39230346679688</v>
      </c>
      <c r="C194">
        <f t="shared" si="56"/>
        <v>-2.7870056884399933E-3</v>
      </c>
      <c r="J194">
        <v>315.04830932617188</v>
      </c>
      <c r="K194">
        <f t="shared" ca="1" si="57"/>
        <v>315.82795049804088</v>
      </c>
      <c r="L194">
        <f t="shared" ca="1" si="58"/>
        <v>-0.77964117186900239</v>
      </c>
      <c r="M194">
        <f t="shared" ca="1" si="59"/>
        <v>0.60784035687327131</v>
      </c>
      <c r="N194">
        <f t="shared" ca="1" si="60"/>
        <v>2.4746718163208233E-3</v>
      </c>
      <c r="O194">
        <f ca="1">+$J193+$J193*$F$5*$G$10+$J193*$G$5*L$23</f>
        <v>317.26679986242482</v>
      </c>
      <c r="P194">
        <f ca="1">+$J193+$J193*$F$5*$G$10+$J193*$G$5*M$23</f>
        <v>315.62545028402212</v>
      </c>
      <c r="Q194">
        <f ca="1">+$J193+$J193*$F$5*$G$10+$J193*$G$5*N$23</f>
        <v>315.91905517974413</v>
      </c>
      <c r="R194">
        <f ca="1">+$J193+$J193*$F$5*$G$10+$J193*$G$5*O$23</f>
        <v>315.4820817546983</v>
      </c>
      <c r="S194">
        <f ca="1">+$J193+$J193*$F$5*$G$10+$J193*$G$5*P$23</f>
        <v>313.83605095645623</v>
      </c>
      <c r="T194">
        <f ca="1">+$J193+$J193*$F$5*$G$10+$J193*$G$5*Q$23</f>
        <v>313.90480572816148</v>
      </c>
      <c r="U194">
        <f ca="1">+$J193+$J193*$F$5*$G$10+$J193*$G$5*R$23</f>
        <v>316.92395356233715</v>
      </c>
      <c r="V194">
        <f ca="1">+$J193+$J193*$F$5*$G$10+$J193*$G$5*S$23</f>
        <v>319.52572702561343</v>
      </c>
      <c r="W194">
        <f ca="1">+$J193+$J193*$F$5*$G$10+$J193*$G$5*T$23</f>
        <v>317.82058132780611</v>
      </c>
      <c r="X194">
        <f ca="1">+$J193+$J193*$F$5*$G$10+$J193*$G$5*U$23</f>
        <v>311.97499929914505</v>
      </c>
    </row>
    <row r="195" spans="1:24">
      <c r="A195" s="2">
        <v>46211</v>
      </c>
      <c r="B195">
        <v>313.11996459960938</v>
      </c>
      <c r="C195">
        <f t="shared" si="56"/>
        <v>3.7998153240951333E-3</v>
      </c>
      <c r="J195">
        <v>317.03656005859381</v>
      </c>
      <c r="K195">
        <f t="shared" ca="1" si="57"/>
        <v>314.92909032949547</v>
      </c>
      <c r="L195">
        <f t="shared" ca="1" si="58"/>
        <v>2.1074697290983408</v>
      </c>
      <c r="M195">
        <f t="shared" ca="1" si="59"/>
        <v>4.4414286590658341</v>
      </c>
      <c r="N195">
        <f t="shared" ca="1" si="60"/>
        <v>6.6474028380475872E-3</v>
      </c>
      <c r="O195">
        <f ca="1">+$J194+$J194*$F$5*$G$10+$J194*$G$5*L$23</f>
        <v>316.36384466562077</v>
      </c>
      <c r="P195">
        <f ca="1">+$J194+$J194*$F$5*$G$10+$J194*$G$5*M$23</f>
        <v>314.72716643994778</v>
      </c>
      <c r="Q195">
        <f ca="1">+$J194+$J194*$F$5*$G$10+$J194*$G$5*N$23</f>
        <v>315.01993572328769</v>
      </c>
      <c r="R195">
        <f ca="1">+$J194+$J194*$F$5*$G$10+$J194*$G$5*O$23</f>
        <v>314.58420594373251</v>
      </c>
      <c r="S195">
        <f ca="1">+$J194+$J194*$F$5*$G$10+$J194*$G$5*P$23</f>
        <v>312.94285982117674</v>
      </c>
      <c r="T195">
        <f ca="1">+$J194+$J194*$F$5*$G$10+$J194*$G$5*Q$23</f>
        <v>313.01141891379285</v>
      </c>
      <c r="U195">
        <f ca="1">+$J194+$J194*$F$5*$G$10+$J194*$G$5*R$23</f>
        <v>316.02197412110689</v>
      </c>
      <c r="V195">
        <f ca="1">+$J194+$J194*$F$5*$G$10+$J194*$G$5*S$23</f>
        <v>318.61634282324655</v>
      </c>
      <c r="W195">
        <f ca="1">+$J194+$J194*$F$5*$G$10+$J194*$G$5*T$23</f>
        <v>316.91605004471666</v>
      </c>
      <c r="X195">
        <f ca="1">+$J194+$J194*$F$5*$G$10+$J194*$G$5*U$23</f>
        <v>311.08710479832661</v>
      </c>
    </row>
    <row r="196" spans="1:24">
      <c r="A196" s="2">
        <v>46212</v>
      </c>
      <c r="B196">
        <v>315.947509765625</v>
      </c>
      <c r="C196">
        <f t="shared" si="56"/>
        <v>3.9041774783057639E-3</v>
      </c>
      <c r="J196">
        <v>314.58868408203119</v>
      </c>
      <c r="K196">
        <f t="shared" ca="1" si="57"/>
        <v>316.91658867807519</v>
      </c>
      <c r="L196">
        <f t="shared" ca="1" si="58"/>
        <v>-2.327904596043993</v>
      </c>
      <c r="M196">
        <f t="shared" ca="1" si="59"/>
        <v>5.419139808282746</v>
      </c>
      <c r="N196">
        <f t="shared" ca="1" si="60"/>
        <v>7.3998357659838003E-3</v>
      </c>
      <c r="O196">
        <f ca="1">+$J195+$J195*$F$5*$G$10+$J195*$G$5*L$23</f>
        <v>318.36039766161542</v>
      </c>
      <c r="P196">
        <f ca="1">+$J195+$J195*$F$5*$G$10+$J195*$G$5*M$23</f>
        <v>316.71339045913288</v>
      </c>
      <c r="Q196">
        <f ca="1">+$J195+$J195*$F$5*$G$10+$J195*$G$5*N$23</f>
        <v>317.00800739162622</v>
      </c>
      <c r="R196">
        <f ca="1">+$J195+$J195*$F$5*$G$10+$J195*$G$5*O$23</f>
        <v>316.56952774791478</v>
      </c>
      <c r="S196">
        <f ca="1">+$J195+$J195*$F$5*$G$10+$J195*$G$5*P$23</f>
        <v>314.91782318973583</v>
      </c>
      <c r="T196">
        <f ca="1">+$J195+$J195*$F$5*$G$10+$J195*$G$5*Q$23</f>
        <v>314.98681495461864</v>
      </c>
      <c r="U196">
        <f ca="1">+$J195+$J195*$F$5*$G$10+$J195*$G$5*R$23</f>
        <v>318.0163695928731</v>
      </c>
      <c r="V196">
        <f ca="1">+$J195+$J195*$F$5*$G$10+$J195*$G$5*S$23</f>
        <v>320.62711119821364</v>
      </c>
      <c r="W196">
        <f ca="1">+$J195+$J195*$F$5*$G$10+$J195*$G$5*T$23</f>
        <v>318.91608797529739</v>
      </c>
      <c r="X196">
        <f ca="1">+$J195+$J195*$F$5*$G$10+$J195*$G$5*U$23</f>
        <v>313.05035660972396</v>
      </c>
    </row>
    <row r="197" spans="1:24">
      <c r="A197" s="2">
        <v>46213</v>
      </c>
      <c r="B197">
        <v>315.04830932617188</v>
      </c>
      <c r="C197">
        <f t="shared" si="56"/>
        <v>-1.2377833307740706E-3</v>
      </c>
      <c r="J197">
        <v>327.21780395507813</v>
      </c>
      <c r="K197">
        <f t="shared" ca="1" si="57"/>
        <v>314.46963901442803</v>
      </c>
      <c r="L197">
        <f t="shared" ca="1" si="58"/>
        <v>12.748164940650099</v>
      </c>
      <c r="M197">
        <f t="shared" ca="1" si="59"/>
        <v>162.51570935402034</v>
      </c>
      <c r="N197">
        <f t="shared" ca="1" si="60"/>
        <v>3.8959264399929236E-2</v>
      </c>
      <c r="O197">
        <f ca="1">+$J196+$J196*$F$5*$G$10+$J196*$G$5*L$23</f>
        <v>315.9023001816883</v>
      </c>
      <c r="P197">
        <f ca="1">+$J196+$J196*$F$5*$G$10+$J196*$G$5*M$23</f>
        <v>314.26800971245393</v>
      </c>
      <c r="Q197">
        <f ca="1">+$J196+$J196*$F$5*$G$10+$J196*$G$5*N$23</f>
        <v>314.56035187351017</v>
      </c>
      <c r="R197">
        <f ca="1">+$J196+$J196*$F$5*$G$10+$J196*$G$5*O$23</f>
        <v>314.12525778188092</v>
      </c>
      <c r="S197">
        <f ca="1">+$J196+$J196*$F$5*$G$10+$J196*$G$5*P$23</f>
        <v>312.48630622577724</v>
      </c>
      <c r="T197">
        <f ca="1">+$J196+$J196*$F$5*$G$10+$J196*$G$5*Q$23</f>
        <v>312.55476529725769</v>
      </c>
      <c r="U197">
        <f ca="1">+$J196+$J196*$F$5*$G$10+$J196*$G$5*R$23</f>
        <v>315.56092839348531</v>
      </c>
      <c r="V197">
        <f ca="1">+$J196+$J196*$F$5*$G$10+$J196*$G$5*S$23</f>
        <v>318.15151216070285</v>
      </c>
      <c r="W197">
        <f ca="1">+$J196+$J196*$F$5*$G$10+$J196*$G$5*T$23</f>
        <v>316.45369994613827</v>
      </c>
      <c r="X197">
        <f ca="1">+$J196+$J196*$F$5*$G$10+$J196*$G$5*U$23</f>
        <v>310.63325857138517</v>
      </c>
    </row>
    <row r="198" spans="1:24">
      <c r="A198" s="2">
        <v>46216</v>
      </c>
      <c r="B198">
        <v>317.03656005859381</v>
      </c>
      <c r="C198">
        <f t="shared" ref="C198:C254" si="61">+LOG(B198/B197)</f>
        <v>2.7321937653555042E-3</v>
      </c>
      <c r="J198">
        <v>332.97283935546881</v>
      </c>
      <c r="K198">
        <f t="shared" ref="K198:K251" ca="1" si="62">+AVERAGE(O198:X198)</f>
        <v>327.09397983945081</v>
      </c>
      <c r="L198">
        <f t="shared" ref="L198:L251" ca="1" si="63">+J198-K198</f>
        <v>5.8788595160179966</v>
      </c>
      <c r="M198">
        <f t="shared" ref="M198:M251" ca="1" si="64">+L198*L198</f>
        <v>34.560989209075352</v>
      </c>
      <c r="N198">
        <f t="shared" ref="N198:N251" ca="1" si="65">+ABS((J198-K198)/J198)</f>
        <v>1.7655672839255083E-2</v>
      </c>
      <c r="O198">
        <f ca="1">+$J197+$J197*$F$5*$G$10+$J197*$G$5*L$23</f>
        <v>328.58415499413127</v>
      </c>
      <c r="P198">
        <f ca="1">+$J197+$J197*$F$5*$G$10+$J197*$G$5*M$23</f>
        <v>326.88425615661254</v>
      </c>
      <c r="Q198">
        <f ca="1">+$J197+$J197*$F$5*$G$10+$J197*$G$5*N$23</f>
        <v>327.18833435390513</v>
      </c>
      <c r="R198">
        <f ca="1">+$J197+$J197*$F$5*$G$10+$J197*$G$5*O$23</f>
        <v>326.73577346923065</v>
      </c>
      <c r="S198">
        <f ca="1">+$J197+$J197*$F$5*$G$10+$J197*$G$5*P$23</f>
        <v>325.0310264261451</v>
      </c>
      <c r="T198">
        <f ca="1">+$J197+$J197*$F$5*$G$10+$J197*$G$5*Q$23</f>
        <v>325.10223377772547</v>
      </c>
      <c r="U198">
        <f ca="1">+$J197+$J197*$F$5*$G$10+$J197*$G$5*R$23</f>
        <v>328.22907888198836</v>
      </c>
      <c r="V198">
        <f ca="1">+$J197+$J197*$F$5*$G$10+$J197*$G$5*S$23</f>
        <v>330.92366128168322</v>
      </c>
      <c r="W198">
        <f ca="1">+$J197+$J197*$F$5*$G$10+$J197*$G$5*T$23</f>
        <v>329.15769062702014</v>
      </c>
      <c r="X198">
        <f ca="1">+$J197+$J197*$F$5*$G$10+$J197*$G$5*U$23</f>
        <v>323.10358842606701</v>
      </c>
    </row>
    <row r="199" spans="1:24">
      <c r="A199" s="2">
        <v>46217</v>
      </c>
      <c r="B199">
        <v>314.58868408203119</v>
      </c>
      <c r="C199">
        <f t="shared" si="61"/>
        <v>-3.3662503561209768E-3</v>
      </c>
      <c r="J199">
        <v>333.452392578125</v>
      </c>
      <c r="K199">
        <f t="shared" ca="1" si="62"/>
        <v>332.84683744829033</v>
      </c>
      <c r="L199">
        <f t="shared" ca="1" si="63"/>
        <v>0.60555512983466997</v>
      </c>
      <c r="M199">
        <f t="shared" ca="1" si="64"/>
        <v>0.36669701526908399</v>
      </c>
      <c r="N199">
        <f t="shared" ca="1" si="65"/>
        <v>1.8160167487561022E-3</v>
      </c>
      <c r="O199">
        <f ca="1">+$J198+$J198*$F$5*$G$10+$J198*$G$5*L$23</f>
        <v>334.36322147872357</v>
      </c>
      <c r="P199">
        <f ca="1">+$J198+$J198*$F$5*$G$10+$J198*$G$5*M$23</f>
        <v>332.63342519103935</v>
      </c>
      <c r="Q199">
        <f ca="1">+$J198+$J198*$F$5*$G$10+$J198*$G$5*N$23</f>
        <v>332.94285144937493</v>
      </c>
      <c r="R199">
        <f ca="1">+$J198+$J198*$F$5*$G$10+$J198*$G$5*O$23</f>
        <v>332.48233102252198</v>
      </c>
      <c r="S199">
        <f ca="1">+$J198+$J198*$F$5*$G$10+$J198*$G$5*P$23</f>
        <v>330.74760126008835</v>
      </c>
      <c r="T199">
        <f ca="1">+$J198+$J198*$F$5*$G$10+$J198*$G$5*Q$23</f>
        <v>330.82006099104467</v>
      </c>
      <c r="U199">
        <f ca="1">+$J198+$J198*$F$5*$G$10+$J198*$G$5*R$23</f>
        <v>334.00190036532911</v>
      </c>
      <c r="V199">
        <f ca="1">+$J198+$J198*$F$5*$G$10+$J198*$G$5*S$23</f>
        <v>336.74387449283364</v>
      </c>
      <c r="W199">
        <f ca="1">+$J198+$J198*$F$5*$G$10+$J198*$G$5*T$23</f>
        <v>334.94684433128924</v>
      </c>
      <c r="X199">
        <f ca="1">+$J198+$J198*$F$5*$G$10+$J198*$G$5*U$23</f>
        <v>328.7862639006587</v>
      </c>
    </row>
    <row r="200" spans="1:24">
      <c r="A200" s="2">
        <v>46218</v>
      </c>
      <c r="B200">
        <v>327.21780395507813</v>
      </c>
      <c r="C200">
        <f t="shared" si="61"/>
        <v>1.7093828879852901E-2</v>
      </c>
      <c r="J200">
        <v>326.30856323242188</v>
      </c>
      <c r="K200">
        <f t="shared" ca="1" si="62"/>
        <v>333.32620920082792</v>
      </c>
      <c r="L200">
        <f t="shared" ca="1" si="63"/>
        <v>-7.0176459684060433</v>
      </c>
      <c r="M200">
        <f t="shared" ca="1" si="64"/>
        <v>49.247354937885589</v>
      </c>
      <c r="N200">
        <f t="shared" ca="1" si="65"/>
        <v>2.1506165510610704E-2</v>
      </c>
      <c r="O200">
        <f ca="1">+$J199+$J199*$F$5*$G$10+$J199*$G$5*L$23</f>
        <v>334.84477715367956</v>
      </c>
      <c r="P200">
        <f ca="1">+$J199+$J199*$F$5*$G$10+$J199*$G$5*M$23</f>
        <v>333.11248958356549</v>
      </c>
      <c r="Q200">
        <f ca="1">+$J199+$J199*$F$5*$G$10+$J199*$G$5*N$23</f>
        <v>333.42236148293188</v>
      </c>
      <c r="R200">
        <f ca="1">+$J199+$J199*$F$5*$G$10+$J199*$G$5*O$23</f>
        <v>332.96117780662217</v>
      </c>
      <c r="S200">
        <f ca="1">+$J199+$J199*$F$5*$G$10+$J199*$G$5*P$23</f>
        <v>331.2239496564834</v>
      </c>
      <c r="T200">
        <f ca="1">+$J199+$J199*$F$5*$G$10+$J199*$G$5*Q$23</f>
        <v>331.29651374519324</v>
      </c>
      <c r="U200">
        <f ca="1">+$J199+$J199*$F$5*$G$10+$J199*$G$5*R$23</f>
        <v>334.48293565938951</v>
      </c>
      <c r="V200">
        <f ca="1">+$J199+$J199*$F$5*$G$10+$J199*$G$5*S$23</f>
        <v>337.22885882529556</v>
      </c>
      <c r="W200">
        <f ca="1">+$J199+$J199*$F$5*$G$10+$J199*$G$5*T$23</f>
        <v>335.42924054993728</v>
      </c>
      <c r="X200">
        <f ca="1">+$J199+$J199*$F$5*$G$10+$J199*$G$5*U$23</f>
        <v>329.25978754518133</v>
      </c>
    </row>
    <row r="201" spans="1:24">
      <c r="A201" s="2">
        <v>46219</v>
      </c>
      <c r="B201">
        <v>332.97283935546881</v>
      </c>
      <c r="C201">
        <f t="shared" si="61"/>
        <v>7.5718838344005519E-3</v>
      </c>
      <c r="J201">
        <v>327.45758056640619</v>
      </c>
      <c r="K201">
        <f t="shared" ca="1" si="62"/>
        <v>326.18508318709587</v>
      </c>
      <c r="L201">
        <f t="shared" ca="1" si="63"/>
        <v>1.2724973793103231</v>
      </c>
      <c r="M201">
        <f t="shared" ca="1" si="64"/>
        <v>1.6192495803516405</v>
      </c>
      <c r="N201">
        <f t="shared" ca="1" si="65"/>
        <v>3.8859915141047385E-3</v>
      </c>
      <c r="O201">
        <f ca="1">+$J200+$J200*$F$5*$G$10+$J200*$G$5*L$23</f>
        <v>327.67111758929229</v>
      </c>
      <c r="P201">
        <f ca="1">+$J200+$J200*$F$5*$G$10+$J200*$G$5*M$23</f>
        <v>325.97594226384655</v>
      </c>
      <c r="Q201">
        <f ca="1">+$J200+$J200*$F$5*$G$10+$J200*$G$5*N$23</f>
        <v>326.27917551848469</v>
      </c>
      <c r="R201">
        <f ca="1">+$J200+$J200*$F$5*$G$10+$J200*$G$5*O$23</f>
        <v>325.82787216558523</v>
      </c>
      <c r="S201">
        <f ca="1">+$J200+$J200*$F$5*$G$10+$J200*$G$5*P$23</f>
        <v>324.12786210629048</v>
      </c>
      <c r="T201">
        <f ca="1">+$J200+$J200*$F$5*$G$10+$J200*$G$5*Q$23</f>
        <v>324.19887159387014</v>
      </c>
      <c r="U201">
        <f ca="1">+$J200+$J200*$F$5*$G$10+$J200*$G$5*R$23</f>
        <v>327.31702812780497</v>
      </c>
      <c r="V201">
        <f ca="1">+$J200+$J200*$F$5*$G$10+$J200*$G$5*S$23</f>
        <v>330.00412308635595</v>
      </c>
      <c r="W201">
        <f ca="1">+$J200+$J200*$F$5*$G$10+$J200*$G$5*T$23</f>
        <v>328.24305953764747</v>
      </c>
      <c r="X201">
        <f ca="1">+$J200+$J200*$F$5*$G$10+$J200*$G$5*U$23</f>
        <v>322.2057798817811</v>
      </c>
    </row>
    <row r="202" spans="1:24">
      <c r="A202" s="2">
        <v>46220</v>
      </c>
      <c r="B202">
        <v>333.452392578125</v>
      </c>
      <c r="C202">
        <f t="shared" si="61"/>
        <v>6.2502841833258333E-4</v>
      </c>
      <c r="J202">
        <v>325.60919189453119</v>
      </c>
      <c r="K202">
        <f t="shared" ca="1" si="62"/>
        <v>327.33366571571963</v>
      </c>
      <c r="L202">
        <f t="shared" ca="1" si="63"/>
        <v>-1.7244738211884396</v>
      </c>
      <c r="M202">
        <f t="shared" ca="1" si="64"/>
        <v>2.9738099599642585</v>
      </c>
      <c r="N202">
        <f t="shared" ca="1" si="65"/>
        <v>5.2961460060593673E-3</v>
      </c>
      <c r="O202">
        <f ca="1">+$J201+$J201*$F$5*$G$10+$J201*$G$5*L$23</f>
        <v>328.8249328316092</v>
      </c>
      <c r="P202">
        <f ca="1">+$J201+$J201*$F$5*$G$10+$J201*$G$5*M$23</f>
        <v>327.12378835287558</v>
      </c>
      <c r="Q202">
        <f ca="1">+$J201+$J201*$F$5*$G$10+$J201*$G$5*N$23</f>
        <v>327.42808937068355</v>
      </c>
      <c r="R202">
        <f ca="1">+$J201+$J201*$F$5*$G$10+$J201*$G$5*O$23</f>
        <v>326.97519686128072</v>
      </c>
      <c r="S202">
        <f ca="1">+$J201+$J201*$F$5*$G$10+$J201*$G$5*P$23</f>
        <v>325.26920062434255</v>
      </c>
      <c r="T202">
        <f ca="1">+$J201+$J201*$F$5*$G$10+$J201*$G$5*Q$23</f>
        <v>325.3404601547997</v>
      </c>
      <c r="U202">
        <f ca="1">+$J201+$J201*$F$5*$G$10+$J201*$G$5*R$23</f>
        <v>328.46959652901853</v>
      </c>
      <c r="V202">
        <f ca="1">+$J201+$J201*$F$5*$G$10+$J201*$G$5*S$23</f>
        <v>331.16615344791416</v>
      </c>
      <c r="W202">
        <f ca="1">+$J201+$J201*$F$5*$G$10+$J201*$G$5*T$23</f>
        <v>329.39888873634413</v>
      </c>
      <c r="X202">
        <f ca="1">+$J201+$J201*$F$5*$G$10+$J201*$G$5*U$23</f>
        <v>323.34035024832826</v>
      </c>
    </row>
    <row r="203" spans="1:24">
      <c r="A203" s="2">
        <v>46223</v>
      </c>
      <c r="B203">
        <v>326.30856323242188</v>
      </c>
      <c r="C203">
        <f t="shared" si="61"/>
        <v>-9.4053668864941924E-3</v>
      </c>
      <c r="J203">
        <v>321.38284301757813</v>
      </c>
      <c r="K203">
        <f t="shared" ca="1" si="62"/>
        <v>325.48597650178942</v>
      </c>
      <c r="L203">
        <f t="shared" ca="1" si="63"/>
        <v>-4.1031334842112983</v>
      </c>
      <c r="M203">
        <f t="shared" ca="1" si="64"/>
        <v>16.835704389255948</v>
      </c>
      <c r="N203">
        <f t="shared" ca="1" si="65"/>
        <v>1.2767120502406148E-2</v>
      </c>
      <c r="O203">
        <f ca="1">+$J202+$J202*$F$5*$G$10+$J202*$G$5*L$23</f>
        <v>326.96882591289113</v>
      </c>
      <c r="P203">
        <f ca="1">+$J202+$J202*$F$5*$G$10+$J202*$G$5*M$23</f>
        <v>325.27728382655977</v>
      </c>
      <c r="Q203">
        <f ca="1">+$J202+$J202*$F$5*$G$10+$J202*$G$5*N$23</f>
        <v>325.57986716675839</v>
      </c>
      <c r="R203">
        <f ca="1">+$J202+$J202*$F$5*$G$10+$J202*$G$5*O$23</f>
        <v>325.1295310843056</v>
      </c>
      <c r="S203">
        <f ca="1">+$J202+$J202*$F$5*$G$10+$J202*$G$5*P$23</f>
        <v>323.43316462632436</v>
      </c>
      <c r="T203">
        <f ca="1">+$J202+$J202*$F$5*$G$10+$J202*$G$5*Q$23</f>
        <v>323.50402192053269</v>
      </c>
      <c r="U203">
        <f ca="1">+$J202+$J202*$F$5*$G$10+$J202*$G$5*R$23</f>
        <v>326.61549536504663</v>
      </c>
      <c r="V203">
        <f ca="1">+$J202+$J202*$F$5*$G$10+$J202*$G$5*S$23</f>
        <v>329.29683112078175</v>
      </c>
      <c r="W203">
        <f ca="1">+$J202+$J202*$F$5*$G$10+$J202*$G$5*T$23</f>
        <v>327.53954202824434</v>
      </c>
      <c r="X203">
        <f ca="1">+$J202+$J202*$F$5*$G$10+$J202*$G$5*U$23</f>
        <v>321.51520196644901</v>
      </c>
    </row>
    <row r="204" spans="1:24">
      <c r="A204" s="2">
        <v>46224</v>
      </c>
      <c r="B204">
        <v>327.45758056640619</v>
      </c>
      <c r="C204">
        <f t="shared" si="61"/>
        <v>1.5265776801058053E-3</v>
      </c>
      <c r="J204">
        <v>332.7330322265625</v>
      </c>
      <c r="K204">
        <f t="shared" ca="1" si="62"/>
        <v>321.26122693852182</v>
      </c>
      <c r="L204">
        <f t="shared" ca="1" si="63"/>
        <v>11.471805288040684</v>
      </c>
      <c r="M204">
        <f t="shared" ca="1" si="64"/>
        <v>131.6023165667182</v>
      </c>
      <c r="N204">
        <f t="shared" ca="1" si="65"/>
        <v>3.4477506520090177E-2</v>
      </c>
      <c r="O204">
        <f ca="1">+$J203+$J203*$F$5*$G$10+$J203*$G$5*L$23</f>
        <v>322.72482923037967</v>
      </c>
      <c r="P204">
        <f ca="1">+$J203+$J203*$F$5*$G$10+$J203*$G$5*M$23</f>
        <v>321.05524305676477</v>
      </c>
      <c r="Q204">
        <f ca="1">+$J203+$J203*$F$5*$G$10+$J203*$G$5*N$23</f>
        <v>321.35389891950922</v>
      </c>
      <c r="R204">
        <f ca="1">+$J203+$J203*$F$5*$G$10+$J203*$G$5*O$23</f>
        <v>320.90940811858928</v>
      </c>
      <c r="S204">
        <f ca="1">+$J203+$J203*$F$5*$G$10+$J203*$G$5*P$23</f>
        <v>319.23506019280268</v>
      </c>
      <c r="T204">
        <f ca="1">+$J203+$J203*$F$5*$G$10+$J203*$G$5*Q$23</f>
        <v>319.30499777204824</v>
      </c>
      <c r="U204">
        <f ca="1">+$J203+$J203*$F$5*$G$10+$J203*$G$5*R$23</f>
        <v>322.37608484963755</v>
      </c>
      <c r="V204">
        <f ca="1">+$J203+$J203*$F$5*$G$10+$J203*$G$5*S$23</f>
        <v>325.02261734845581</v>
      </c>
      <c r="W204">
        <f ca="1">+$J203+$J203*$F$5*$G$10+$J203*$G$5*T$23</f>
        <v>323.28813755297637</v>
      </c>
      <c r="X204">
        <f ca="1">+$J203+$J203*$F$5*$G$10+$J203*$G$5*U$23</f>
        <v>317.34199234405486</v>
      </c>
    </row>
    <row r="205" spans="1:24">
      <c r="A205" s="2">
        <v>46225</v>
      </c>
      <c r="B205">
        <v>325.60919189453119</v>
      </c>
      <c r="C205">
        <f t="shared" si="61"/>
        <v>-2.4583922440711064E-3</v>
      </c>
      <c r="J205">
        <v>336.61968994140619</v>
      </c>
      <c r="K205">
        <f t="shared" ca="1" si="62"/>
        <v>332.60712106599163</v>
      </c>
      <c r="L205">
        <f t="shared" ca="1" si="63"/>
        <v>4.0125688754145585</v>
      </c>
      <c r="M205">
        <f t="shared" ca="1" si="64"/>
        <v>16.100708979945654</v>
      </c>
      <c r="N205">
        <f t="shared" ca="1" si="65"/>
        <v>1.1920184693037439E-2</v>
      </c>
      <c r="O205">
        <f ca="1">+$J204+$J204*$F$5*$G$10+$J204*$G$5*L$23</f>
        <v>334.12241299623628</v>
      </c>
      <c r="P205">
        <f ca="1">+$J204+$J204*$F$5*$G$10+$J204*$G$5*M$23</f>
        <v>332.39386250830603</v>
      </c>
      <c r="Q205">
        <f ca="1">+$J204+$J204*$F$5*$G$10+$J204*$G$5*N$23</f>
        <v>332.70306591776671</v>
      </c>
      <c r="R205">
        <f ca="1">+$J204+$J204*$F$5*$G$10+$J204*$G$5*O$23</f>
        <v>332.24287715784959</v>
      </c>
      <c r="S205">
        <f ca="1">+$J204+$J204*$F$5*$G$10+$J204*$G$5*P$23</f>
        <v>330.5093967482598</v>
      </c>
      <c r="T205">
        <f ca="1">+$J204+$J204*$F$5*$G$10+$J204*$G$5*Q$23</f>
        <v>330.58180429369833</v>
      </c>
      <c r="U205">
        <f ca="1">+$J204+$J204*$F$5*$G$10+$J204*$G$5*R$23</f>
        <v>333.76135210640535</v>
      </c>
      <c r="V205">
        <f ca="1">+$J204+$J204*$F$5*$G$10+$J204*$G$5*S$23</f>
        <v>336.5013514634021</v>
      </c>
      <c r="W205">
        <f ca="1">+$J204+$J204*$F$5*$G$10+$J204*$G$5*T$23</f>
        <v>334.70561552346578</v>
      </c>
      <c r="X205">
        <f ca="1">+$J204+$J204*$F$5*$G$10+$J204*$G$5*U$23</f>
        <v>328.54947194452654</v>
      </c>
    </row>
    <row r="206" spans="1:24">
      <c r="A206" s="2">
        <v>46226</v>
      </c>
      <c r="B206">
        <v>321.38284301757813</v>
      </c>
      <c r="C206">
        <f t="shared" si="61"/>
        <v>-5.6739681626285475E-3</v>
      </c>
      <c r="J206">
        <v>339.78692626953119</v>
      </c>
      <c r="K206">
        <f t="shared" ca="1" si="62"/>
        <v>336.49230801137094</v>
      </c>
      <c r="L206">
        <f t="shared" ca="1" si="63"/>
        <v>3.2946182581602557</v>
      </c>
      <c r="M206">
        <f t="shared" ca="1" si="64"/>
        <v>10.854509467002917</v>
      </c>
      <c r="N206">
        <f t="shared" ca="1" si="65"/>
        <v>9.6961301434736365E-3</v>
      </c>
      <c r="O206">
        <f ca="1">+$J205+$J205*$F$5*$G$10+$J205*$G$5*L$23</f>
        <v>338.02530008106822</v>
      </c>
      <c r="P206">
        <f ca="1">+$J205+$J205*$F$5*$G$10+$J205*$G$5*M$23</f>
        <v>336.27655837844412</v>
      </c>
      <c r="Q206">
        <f ca="1">+$J205+$J205*$F$5*$G$10+$J205*$G$5*N$23</f>
        <v>336.5893735958723</v>
      </c>
      <c r="R206">
        <f ca="1">+$J205+$J205*$F$5*$G$10+$J205*$G$5*O$23</f>
        <v>336.12380936667267</v>
      </c>
      <c r="S206">
        <f ca="1">+$J205+$J205*$F$5*$G$10+$J205*$G$5*P$23</f>
        <v>334.37008015592727</v>
      </c>
      <c r="T206">
        <f ca="1">+$J205+$J205*$F$5*$G$10+$J205*$G$5*Q$23</f>
        <v>334.44333349459288</v>
      </c>
      <c r="U206">
        <f ca="1">+$J205+$J205*$F$5*$G$10+$J205*$G$5*R$23</f>
        <v>337.66002163554828</v>
      </c>
      <c r="V206">
        <f ca="1">+$J205+$J205*$F$5*$G$10+$J205*$G$5*S$23</f>
        <v>340.43202695110068</v>
      </c>
      <c r="W206">
        <f ca="1">+$J205+$J205*$F$5*$G$10+$J205*$G$5*T$23</f>
        <v>338.61531500256649</v>
      </c>
      <c r="X206">
        <f ca="1">+$J205+$J205*$F$5*$G$10+$J205*$G$5*U$23</f>
        <v>332.38726145191612</v>
      </c>
    </row>
    <row r="207" spans="1:24">
      <c r="A207" s="2">
        <v>46227</v>
      </c>
      <c r="B207">
        <v>332.7330322265625</v>
      </c>
      <c r="C207">
        <f t="shared" si="61"/>
        <v>1.5073229505630146E-2</v>
      </c>
      <c r="J207">
        <v>337.89859008789063</v>
      </c>
      <c r="K207">
        <f t="shared" ca="1" si="62"/>
        <v>339.65834580985427</v>
      </c>
      <c r="L207">
        <f t="shared" ca="1" si="63"/>
        <v>-1.7597557219636428</v>
      </c>
      <c r="M207">
        <f t="shared" ca="1" si="64"/>
        <v>3.0967402009837817</v>
      </c>
      <c r="N207">
        <f t="shared" ca="1" si="65"/>
        <v>5.2079404104820731E-3</v>
      </c>
      <c r="O207">
        <f ca="1">+$J206+$J206*$F$5*$G$10+$J206*$G$5*L$23</f>
        <v>341.20576171843851</v>
      </c>
      <c r="P207">
        <f ca="1">+$J206+$J206*$F$5*$G$10+$J206*$G$5*M$23</f>
        <v>339.44056620038248</v>
      </c>
      <c r="Q207">
        <f ca="1">+$J206+$J206*$F$5*$G$10+$J206*$G$5*N$23</f>
        <v>339.75632467915341</v>
      </c>
      <c r="R207">
        <f ca="1">+$J206+$J206*$F$5*$G$10+$J206*$G$5*O$23</f>
        <v>339.28637998147894</v>
      </c>
      <c r="S207">
        <f ca="1">+$J206+$J206*$F$5*$G$10+$J206*$G$5*P$23</f>
        <v>337.51615002810934</v>
      </c>
      <c r="T207">
        <f ca="1">+$J206+$J206*$F$5*$G$10+$J206*$G$5*Q$23</f>
        <v>337.59009260344857</v>
      </c>
      <c r="U207">
        <f ca="1">+$J206+$J206*$F$5*$G$10+$J206*$G$5*R$23</f>
        <v>340.83704638792011</v>
      </c>
      <c r="V207">
        <f ca="1">+$J206+$J206*$F$5*$G$10+$J206*$G$5*S$23</f>
        <v>343.63513335050482</v>
      </c>
      <c r="W207">
        <f ca="1">+$J206+$J206*$F$5*$G$10+$J206*$G$5*T$23</f>
        <v>341.80132805819699</v>
      </c>
      <c r="X207">
        <f ca="1">+$J206+$J206*$F$5*$G$10+$J206*$G$5*U$23</f>
        <v>335.51467509090958</v>
      </c>
    </row>
    <row r="208" spans="1:24">
      <c r="A208" s="2">
        <v>46230</v>
      </c>
      <c r="B208">
        <v>336.61968994140619</v>
      </c>
      <c r="C208">
        <f t="shared" si="61"/>
        <v>5.0435978333073844E-3</v>
      </c>
      <c r="J208">
        <v>333.14266967773438</v>
      </c>
      <c r="K208">
        <f t="shared" ca="1" si="62"/>
        <v>337.77072420289414</v>
      </c>
      <c r="L208">
        <f t="shared" ca="1" si="63"/>
        <v>-4.6280545251597687</v>
      </c>
      <c r="M208">
        <f t="shared" ca="1" si="64"/>
        <v>21.418888687851812</v>
      </c>
      <c r="N208">
        <f t="shared" ca="1" si="65"/>
        <v>1.3892109736758482E-2</v>
      </c>
      <c r="O208">
        <f ca="1">+$J207+$J207*$F$5*$G$10+$J207*$G$5*L$23</f>
        <v>339.30954048264533</v>
      </c>
      <c r="P208">
        <f ca="1">+$J207+$J207*$F$5*$G$10+$J207*$G$5*M$23</f>
        <v>337.55415488459124</v>
      </c>
      <c r="Q208">
        <f ca="1">+$J207+$J207*$F$5*$G$10+$J207*$G$5*N$23</f>
        <v>337.86815856318003</v>
      </c>
      <c r="R208">
        <f ca="1">+$J207+$J207*$F$5*$G$10+$J207*$G$5*O$23</f>
        <v>337.4008255421399</v>
      </c>
      <c r="S208">
        <f ca="1">+$J207+$J207*$F$5*$G$10+$J207*$G$5*P$23</f>
        <v>335.64043348720702</v>
      </c>
      <c r="T208">
        <f ca="1">+$J207+$J207*$F$5*$G$10+$J207*$G$5*Q$23</f>
        <v>335.71396513313852</v>
      </c>
      <c r="U208">
        <f ca="1">+$J207+$J207*$F$5*$G$10+$J207*$G$5*R$23</f>
        <v>338.94287425539</v>
      </c>
      <c r="V208">
        <f ca="1">+$J207+$J207*$F$5*$G$10+$J207*$G$5*S$23</f>
        <v>341.72541109393421</v>
      </c>
      <c r="W208">
        <f ca="1">+$J207+$J207*$F$5*$G$10+$J207*$G$5*T$23</f>
        <v>339.90179701445959</v>
      </c>
      <c r="X208">
        <f ca="1">+$J207+$J207*$F$5*$G$10+$J207*$G$5*U$23</f>
        <v>333.65008157225549</v>
      </c>
    </row>
    <row r="209" spans="1:24">
      <c r="A209" s="2">
        <v>46231</v>
      </c>
      <c r="B209">
        <v>339.78692626953119</v>
      </c>
      <c r="C209">
        <f t="shared" si="61"/>
        <v>4.0671491975221895E-3</v>
      </c>
      <c r="J209">
        <v>308.64382934570313</v>
      </c>
      <c r="K209">
        <f t="shared" ca="1" si="62"/>
        <v>333.01660350421957</v>
      </c>
      <c r="L209">
        <f t="shared" ca="1" si="63"/>
        <v>-24.372774158516449</v>
      </c>
      <c r="M209">
        <f t="shared" ca="1" si="64"/>
        <v>594.03212018204727</v>
      </c>
      <c r="N209">
        <f t="shared" ca="1" si="65"/>
        <v>7.8967313910615081E-2</v>
      </c>
      <c r="O209">
        <f ca="1">+$J208+$J208*$F$5*$G$10+$J208*$G$5*L$23</f>
        <v>334.53376095505865</v>
      </c>
      <c r="P209">
        <f ca="1">+$J208+$J208*$F$5*$G$10+$J208*$G$5*M$23</f>
        <v>332.80308239763269</v>
      </c>
      <c r="Q209">
        <f ca="1">+$J208+$J208*$F$5*$G$10+$J208*$G$5*N$23</f>
        <v>333.11266647653184</v>
      </c>
      <c r="R209">
        <f ca="1">+$J208+$J208*$F$5*$G$10+$J208*$G$5*O$23</f>
        <v>332.65191116465746</v>
      </c>
      <c r="S209">
        <f ca="1">+$J208+$J208*$F$5*$G$10+$J208*$G$5*P$23</f>
        <v>330.91629661619999</v>
      </c>
      <c r="T209">
        <f ca="1">+$J208+$J208*$F$5*$G$10+$J208*$G$5*Q$23</f>
        <v>330.98879330470362</v>
      </c>
      <c r="U209">
        <f ca="1">+$J208+$J208*$F$5*$G$10+$J208*$G$5*R$23</f>
        <v>334.17225555251542</v>
      </c>
      <c r="V209">
        <f ca="1">+$J208+$J208*$F$5*$G$10+$J208*$G$5*S$23</f>
        <v>336.91562820354704</v>
      </c>
      <c r="W209">
        <f ca="1">+$J208+$J208*$F$5*$G$10+$J208*$G$5*T$23</f>
        <v>335.11768148012317</v>
      </c>
      <c r="X209">
        <f ca="1">+$J208+$J208*$F$5*$G$10+$J208*$G$5*U$23</f>
        <v>328.95395889122557</v>
      </c>
    </row>
    <row r="210" spans="1:24">
      <c r="A210" s="2">
        <v>46232</v>
      </c>
      <c r="B210">
        <v>337.89859008789063</v>
      </c>
      <c r="C210">
        <f t="shared" si="61"/>
        <v>-2.4202851805583993E-3</v>
      </c>
      <c r="J210">
        <v>303.1585693359375</v>
      </c>
      <c r="K210">
        <f t="shared" ca="1" si="62"/>
        <v>308.5270339001296</v>
      </c>
      <c r="L210">
        <f t="shared" ca="1" si="63"/>
        <v>-5.3684645641920952</v>
      </c>
      <c r="M210">
        <f t="shared" ca="1" si="64"/>
        <v>28.820411776986223</v>
      </c>
      <c r="N210">
        <f t="shared" ca="1" si="65"/>
        <v>1.7708437455525684E-2</v>
      </c>
      <c r="O210">
        <f ca="1">+$J209+$J209*$F$5*$G$10+$J209*$G$5*L$23</f>
        <v>309.93262173971891</v>
      </c>
      <c r="P210">
        <f ca="1">+$J209+$J209*$F$5*$G$10+$J209*$G$5*M$23</f>
        <v>308.32921483346109</v>
      </c>
      <c r="Q210">
        <f ca="1">+$J209+$J209*$F$5*$G$10+$J209*$G$5*N$23</f>
        <v>308.6160325374446</v>
      </c>
      <c r="R210">
        <f ca="1">+$J209+$J209*$F$5*$G$10+$J209*$G$5*O$23</f>
        <v>308.18916051896116</v>
      </c>
      <c r="S210">
        <f ca="1">+$J209+$J209*$F$5*$G$10+$J209*$G$5*P$23</f>
        <v>306.58118060746489</v>
      </c>
      <c r="T210">
        <f ca="1">+$J209+$J209*$F$5*$G$10+$J209*$G$5*Q$23</f>
        <v>306.64834599212213</v>
      </c>
      <c r="U210">
        <f ca="1">+$J209+$J209*$F$5*$G$10+$J209*$G$5*R$23</f>
        <v>309.59770093273244</v>
      </c>
      <c r="V210">
        <f ca="1">+$J209+$J209*$F$5*$G$10+$J209*$G$5*S$23</f>
        <v>312.13932984251977</v>
      </c>
      <c r="W210">
        <f ca="1">+$J209+$J209*$F$5*$G$10+$J209*$G$5*T$23</f>
        <v>310.47360157596682</v>
      </c>
      <c r="X210">
        <f ca="1">+$J209+$J209*$F$5*$G$10+$J209*$G$5*U$23</f>
        <v>304.76315042090391</v>
      </c>
    </row>
    <row r="211" spans="1:24">
      <c r="A211" s="2">
        <v>46233</v>
      </c>
      <c r="B211">
        <v>333.14266967773438</v>
      </c>
      <c r="C211">
        <f t="shared" si="61"/>
        <v>-6.1561179582841439E-3</v>
      </c>
      <c r="J211">
        <v>309.1134033203125</v>
      </c>
      <c r="K211">
        <f t="shared" ca="1" si="62"/>
        <v>303.04384959486868</v>
      </c>
      <c r="L211">
        <f t="shared" ca="1" si="63"/>
        <v>6.069553725443825</v>
      </c>
      <c r="M211">
        <f t="shared" ca="1" si="64"/>
        <v>36.839482426049017</v>
      </c>
      <c r="N211">
        <f t="shared" ca="1" si="65"/>
        <v>1.9635362492367803E-2</v>
      </c>
      <c r="O211">
        <f ca="1">+$J210+$J210*$F$5*$G$10+$J210*$G$5*L$23</f>
        <v>304.42445713667246</v>
      </c>
      <c r="P211">
        <f ca="1">+$J210+$J210*$F$5*$G$10+$J210*$G$5*M$23</f>
        <v>302.84954619549171</v>
      </c>
      <c r="Q211">
        <f ca="1">+$J210+$J210*$F$5*$G$10+$J210*$G$5*N$23</f>
        <v>303.13126653632656</v>
      </c>
      <c r="R211">
        <f ca="1">+$J210+$J210*$F$5*$G$10+$J210*$G$5*O$23</f>
        <v>302.71198094527068</v>
      </c>
      <c r="S211">
        <f ca="1">+$J210+$J210*$F$5*$G$10+$J210*$G$5*P$23</f>
        <v>301.13257827092093</v>
      </c>
      <c r="T211">
        <f ca="1">+$J210+$J210*$F$5*$G$10+$J210*$G$5*Q$23</f>
        <v>301.19854998324956</v>
      </c>
      <c r="U211">
        <f ca="1">+$J210+$J210*$F$5*$G$10+$J210*$G$5*R$23</f>
        <v>304.09548858770745</v>
      </c>
      <c r="V211">
        <f ca="1">+$J210+$J210*$F$5*$G$10+$J210*$G$5*S$23</f>
        <v>306.59194732367968</v>
      </c>
      <c r="W211">
        <f ca="1">+$J210+$J210*$F$5*$G$10+$J210*$G$5*T$23</f>
        <v>304.95582260587423</v>
      </c>
      <c r="X211">
        <f ca="1">+$J210+$J210*$F$5*$G$10+$J210*$G$5*U$23</f>
        <v>299.34685836349314</v>
      </c>
    </row>
    <row r="212" spans="1:24">
      <c r="A212" s="2">
        <v>46234</v>
      </c>
      <c r="B212">
        <v>308.64382934570313</v>
      </c>
      <c r="C212">
        <f t="shared" si="61"/>
        <v>-3.3172663060514862E-2</v>
      </c>
      <c r="J212">
        <v>310.73202514648438</v>
      </c>
      <c r="K212">
        <f t="shared" ca="1" si="62"/>
        <v>308.99643018091717</v>
      </c>
      <c r="L212">
        <f t="shared" ca="1" si="63"/>
        <v>1.7355949655672021</v>
      </c>
      <c r="M212">
        <f t="shared" ca="1" si="64"/>
        <v>3.0122898845022172</v>
      </c>
      <c r="N212">
        <f t="shared" ca="1" si="65"/>
        <v>5.5855039877174325E-3</v>
      </c>
      <c r="O212">
        <f ca="1">+$J211+$J211*$F$5*$G$10+$J211*$G$5*L$23</f>
        <v>310.40415649665846</v>
      </c>
      <c r="P212">
        <f ca="1">+$J211+$J211*$F$5*$G$10+$J211*$G$5*M$23</f>
        <v>308.79831015023592</v>
      </c>
      <c r="Q212">
        <f ca="1">+$J211+$J211*$F$5*$G$10+$J211*$G$5*N$23</f>
        <v>309.08556422169693</v>
      </c>
      <c r="R212">
        <f ca="1">+$J211+$J211*$F$5*$G$10+$J211*$G$5*O$23</f>
        <v>308.65804275562596</v>
      </c>
      <c r="S212">
        <f ca="1">+$J211+$J211*$F$5*$G$10+$J211*$G$5*P$23</f>
        <v>307.04761644654667</v>
      </c>
      <c r="T212">
        <f ca="1">+$J211+$J211*$F$5*$G$10+$J211*$G$5*Q$23</f>
        <v>307.11488401732794</v>
      </c>
      <c r="U212">
        <f ca="1">+$J211+$J211*$F$5*$G$10+$J211*$G$5*R$23</f>
        <v>310.06872613762664</v>
      </c>
      <c r="V212">
        <f ca="1">+$J211+$J211*$F$5*$G$10+$J211*$G$5*S$23</f>
        <v>312.61422190842228</v>
      </c>
      <c r="W212">
        <f ca="1">+$J211+$J211*$F$5*$G$10+$J211*$G$5*T$23</f>
        <v>310.94595938533035</v>
      </c>
      <c r="X212">
        <f ca="1">+$J211+$J211*$F$5*$G$10+$J211*$G$5*U$23</f>
        <v>305.22682028970053</v>
      </c>
    </row>
    <row r="213" spans="1:24">
      <c r="A213" s="2">
        <v>46237</v>
      </c>
      <c r="B213">
        <v>303.1585693359375</v>
      </c>
      <c r="C213">
        <f t="shared" si="61"/>
        <v>-7.7877497484905751E-3</v>
      </c>
      <c r="J213">
        <v>312.14080810546881</v>
      </c>
      <c r="K213">
        <f t="shared" ca="1" si="62"/>
        <v>310.61443949635844</v>
      </c>
      <c r="L213">
        <f t="shared" ca="1" si="63"/>
        <v>1.5263686091103636</v>
      </c>
      <c r="M213">
        <f t="shared" ca="1" si="64"/>
        <v>2.329801130877506</v>
      </c>
      <c r="N213">
        <f t="shared" ca="1" si="65"/>
        <v>4.8900001841304299E-3</v>
      </c>
      <c r="O213">
        <f ca="1">+$J212+$J212*$F$5*$G$10+$J212*$G$5*L$23</f>
        <v>312.02953714092428</v>
      </c>
      <c r="P213">
        <f ca="1">+$J212+$J212*$F$5*$G$10+$J212*$G$5*M$23</f>
        <v>310.41528204251017</v>
      </c>
      <c r="Q213">
        <f ca="1">+$J212+$J212*$F$5*$G$10+$J212*$G$5*N$23</f>
        <v>310.70404027297792</v>
      </c>
      <c r="R213">
        <f ca="1">+$J212+$J212*$F$5*$G$10+$J212*$G$5*O$23</f>
        <v>310.27428016060855</v>
      </c>
      <c r="S213">
        <f ca="1">+$J212+$J212*$F$5*$G$10+$J212*$G$5*P$23</f>
        <v>308.65542111731156</v>
      </c>
      <c r="T213">
        <f ca="1">+$J212+$J212*$F$5*$G$10+$J212*$G$5*Q$23</f>
        <v>308.72304092373548</v>
      </c>
      <c r="U213">
        <f ca="1">+$J212+$J212*$F$5*$G$10+$J212*$G$5*R$23</f>
        <v>311.69235035562798</v>
      </c>
      <c r="V213">
        <f ca="1">+$J212+$J212*$F$5*$G$10+$J212*$G$5*S$23</f>
        <v>314.25117519908366</v>
      </c>
      <c r="W213">
        <f ca="1">+$J212+$J212*$F$5*$G$10+$J212*$G$5*T$23</f>
        <v>312.57417709189002</v>
      </c>
      <c r="X213">
        <f ca="1">+$J212+$J212*$F$5*$G$10+$J212*$G$5*U$23</f>
        <v>306.8250906589152</v>
      </c>
    </row>
    <row r="214" spans="1:24">
      <c r="A214" s="2">
        <v>46238</v>
      </c>
      <c r="B214">
        <v>309.1134033203125</v>
      </c>
      <c r="C214">
        <f t="shared" si="61"/>
        <v>8.4479878307392627E-3</v>
      </c>
      <c r="J214">
        <v>313.05999755859381</v>
      </c>
      <c r="K214">
        <f t="shared" ca="1" si="62"/>
        <v>312.02268935078104</v>
      </c>
      <c r="L214">
        <f t="shared" ca="1" si="63"/>
        <v>1.0373082078127709</v>
      </c>
      <c r="M214">
        <f t="shared" ca="1" si="64"/>
        <v>1.0760083179957427</v>
      </c>
      <c r="N214">
        <f t="shared" ca="1" si="65"/>
        <v>3.3134485910120896E-3</v>
      </c>
      <c r="O214">
        <f ca="1">+$J213+$J213*$F$5*$G$10+$J213*$G$5*L$23</f>
        <v>313.44420270176147</v>
      </c>
      <c r="P214">
        <f ca="1">+$J213+$J213*$F$5*$G$10+$J213*$G$5*M$23</f>
        <v>311.82262896577527</v>
      </c>
      <c r="Q214">
        <f ca="1">+$J213+$J213*$F$5*$G$10+$J213*$G$5*N$23</f>
        <v>312.11269635539441</v>
      </c>
      <c r="R214">
        <f ca="1">+$J213+$J213*$F$5*$G$10+$J213*$G$5*O$23</f>
        <v>311.6809878158474</v>
      </c>
      <c r="S214">
        <f ca="1">+$J213+$J213*$F$5*$G$10+$J213*$G$5*P$23</f>
        <v>310.05478926181888</v>
      </c>
      <c r="T214">
        <f ca="1">+$J213+$J213*$F$5*$G$10+$J213*$G$5*Q$23</f>
        <v>310.12271563989708</v>
      </c>
      <c r="U214">
        <f ca="1">+$J213+$J213*$F$5*$G$10+$J213*$G$5*R$23</f>
        <v>313.1054871940978</v>
      </c>
      <c r="V214">
        <f ca="1">+$J213+$J213*$F$5*$G$10+$J213*$G$5*S$23</f>
        <v>315.6759131231924</v>
      </c>
      <c r="W214">
        <f ca="1">+$J213+$J213*$F$5*$G$10+$J213*$G$5*T$23</f>
        <v>313.99131191697944</v>
      </c>
      <c r="X214">
        <f ca="1">+$J213+$J213*$F$5*$G$10+$J213*$G$5*U$23</f>
        <v>308.21616053304666</v>
      </c>
    </row>
    <row r="215" spans="1:24">
      <c r="A215" s="2">
        <v>46239</v>
      </c>
      <c r="B215">
        <v>310.73202514648438</v>
      </c>
      <c r="C215">
        <f t="shared" si="61"/>
        <v>2.2681787844326547E-3</v>
      </c>
      <c r="J215">
        <v>308.260009765625</v>
      </c>
      <c r="K215">
        <f t="shared" ca="1" si="62"/>
        <v>312.94153096885628</v>
      </c>
      <c r="L215">
        <f t="shared" ca="1" si="63"/>
        <v>-4.6815212032312843</v>
      </c>
      <c r="M215">
        <f t="shared" ca="1" si="64"/>
        <v>21.916640776304092</v>
      </c>
      <c r="N215">
        <f t="shared" ca="1" si="65"/>
        <v>1.5186923554536703E-2</v>
      </c>
      <c r="O215">
        <f ca="1">+$J214+$J214*$F$5*$G$10+$J214*$G$5*L$23</f>
        <v>314.36723037960769</v>
      </c>
      <c r="P215">
        <f ca="1">+$J214+$J214*$F$5*$G$10+$J214*$G$5*M$23</f>
        <v>312.7408814478224</v>
      </c>
      <c r="Q215">
        <f ca="1">+$J214+$J214*$F$5*$G$10+$J214*$G$5*N$23</f>
        <v>313.03180302528983</v>
      </c>
      <c r="R215">
        <f ca="1">+$J214+$J214*$F$5*$G$10+$J214*$G$5*O$23</f>
        <v>312.59882319430619</v>
      </c>
      <c r="S215">
        <f ca="1">+$J214+$J214*$F$5*$G$10+$J214*$G$5*P$23</f>
        <v>310.96783582535591</v>
      </c>
      <c r="T215">
        <f ca="1">+$J214+$J214*$F$5*$G$10+$J214*$G$5*Q$23</f>
        <v>311.03596223242317</v>
      </c>
      <c r="U215">
        <f ca="1">+$J214+$J214*$F$5*$G$10+$J214*$G$5*R$23</f>
        <v>314.02751742555387</v>
      </c>
      <c r="V215">
        <f ca="1">+$J214+$J214*$F$5*$G$10+$J214*$G$5*S$23</f>
        <v>316.6055127218786</v>
      </c>
      <c r="W215">
        <f ca="1">+$J214+$J214*$F$5*$G$10+$J214*$G$5*T$23</f>
        <v>314.91595071713738</v>
      </c>
      <c r="X215">
        <f ca="1">+$J214+$J214*$F$5*$G$10+$J214*$G$5*U$23</f>
        <v>309.12379271918792</v>
      </c>
    </row>
    <row r="216" spans="1:24">
      <c r="A216" s="2">
        <v>46240</v>
      </c>
      <c r="B216">
        <v>312.14080810546881</v>
      </c>
      <c r="C216">
        <f t="shared" si="61"/>
        <v>1.9645348966811798E-3</v>
      </c>
      <c r="J216">
        <v>304.91000366210938</v>
      </c>
      <c r="K216">
        <f t="shared" ca="1" si="62"/>
        <v>308.14335956312647</v>
      </c>
      <c r="L216">
        <f t="shared" ca="1" si="63"/>
        <v>-3.2333559010170916</v>
      </c>
      <c r="M216">
        <f t="shared" ca="1" si="64"/>
        <v>10.454590382642047</v>
      </c>
      <c r="N216">
        <f t="shared" ca="1" si="65"/>
        <v>1.0604295897750157E-2</v>
      </c>
      <c r="O216">
        <f ca="1">+$J215+$J215*$F$5*$G$10+$J215*$G$5*L$23</f>
        <v>309.54719945870056</v>
      </c>
      <c r="P216">
        <f ca="1">+$J215+$J215*$F$5*$G$10+$J215*$G$5*M$23</f>
        <v>307.94578649791305</v>
      </c>
      <c r="Q216">
        <f ca="1">+$J215+$J215*$F$5*$G$10+$J215*$G$5*N$23</f>
        <v>308.23224752458685</v>
      </c>
      <c r="R216">
        <f ca="1">+$J215+$J215*$F$5*$G$10+$J215*$G$5*O$23</f>
        <v>307.80590635047258</v>
      </c>
      <c r="S216">
        <f ca="1">+$J215+$J215*$F$5*$G$10+$J215*$G$5*P$23</f>
        <v>306.19992607128944</v>
      </c>
      <c r="T216">
        <f ca="1">+$J215+$J215*$F$5*$G$10+$J215*$G$5*Q$23</f>
        <v>306.26700793122569</v>
      </c>
      <c r="U216">
        <f ca="1">+$J215+$J215*$F$5*$G$10+$J215*$G$5*R$23</f>
        <v>309.21269514850189</v>
      </c>
      <c r="V216">
        <f ca="1">+$J215+$J215*$F$5*$G$10+$J215*$G$5*S$23</f>
        <v>311.75116336998735</v>
      </c>
      <c r="W216">
        <f ca="1">+$J215+$J215*$F$5*$G$10+$J215*$G$5*T$23</f>
        <v>310.08750654975216</v>
      </c>
      <c r="X216">
        <f ca="1">+$J215+$J215*$F$5*$G$10+$J215*$G$5*U$23</f>
        <v>304.38415672883559</v>
      </c>
    </row>
    <row r="217" spans="1:24">
      <c r="A217" s="2">
        <v>46241</v>
      </c>
      <c r="B217">
        <v>313.05999755859381</v>
      </c>
      <c r="C217">
        <f t="shared" si="61"/>
        <v>1.2770271289893281E-3</v>
      </c>
      <c r="J217">
        <v>302.25</v>
      </c>
      <c r="K217">
        <f t="shared" ca="1" si="62"/>
        <v>304.79462115207173</v>
      </c>
      <c r="L217">
        <f t="shared" ca="1" si="63"/>
        <v>-2.544621152071727</v>
      </c>
      <c r="M217">
        <f t="shared" ca="1" si="64"/>
        <v>6.4750968075708428</v>
      </c>
      <c r="N217">
        <f t="shared" ca="1" si="65"/>
        <v>8.4189285428344987E-3</v>
      </c>
      <c r="O217">
        <f ca="1">+$J216+$J216*$F$5*$G$10+$J216*$G$5*L$23</f>
        <v>306.18320486108394</v>
      </c>
      <c r="P217">
        <f ca="1">+$J216+$J216*$F$5*$G$10+$J216*$G$5*M$23</f>
        <v>304.59919520602188</v>
      </c>
      <c r="Q217">
        <f ca="1">+$J216+$J216*$F$5*$G$10+$J216*$G$5*N$23</f>
        <v>304.88254312636542</v>
      </c>
      <c r="R217">
        <f ca="1">+$J216+$J216*$F$5*$G$10+$J216*$G$5*O$23</f>
        <v>304.46083520174903</v>
      </c>
      <c r="S217">
        <f ca="1">+$J216+$J216*$F$5*$G$10+$J216*$G$5*P$23</f>
        <v>302.87230786348243</v>
      </c>
      <c r="T217">
        <f ca="1">+$J216+$J216*$F$5*$G$10+$J216*$G$5*Q$23</f>
        <v>302.93866071338465</v>
      </c>
      <c r="U217">
        <f ca="1">+$J216+$J216*$F$5*$G$10+$J216*$G$5*R$23</f>
        <v>305.85233576611046</v>
      </c>
      <c r="V217">
        <f ca="1">+$J216+$J216*$F$5*$G$10+$J216*$G$5*S$23</f>
        <v>308.36321726286303</v>
      </c>
      <c r="W217">
        <f ca="1">+$J216+$J216*$F$5*$G$10+$J216*$G$5*T$23</f>
        <v>306.71764018156699</v>
      </c>
      <c r="X217">
        <f ca="1">+$J216+$J216*$F$5*$G$10+$J216*$G$5*U$23</f>
        <v>301.07627133808916</v>
      </c>
    </row>
    <row r="218" spans="1:24">
      <c r="A218" s="2">
        <v>46244</v>
      </c>
      <c r="B218">
        <v>308.260009765625</v>
      </c>
      <c r="C218">
        <f t="shared" si="61"/>
        <v>-6.7103896877294261E-3</v>
      </c>
      <c r="J218">
        <v>305.260009765625</v>
      </c>
      <c r="K218">
        <f t="shared" ca="1" si="62"/>
        <v>302.13562407516963</v>
      </c>
      <c r="L218">
        <f t="shared" ca="1" si="63"/>
        <v>3.1243856904553695</v>
      </c>
      <c r="M218">
        <f t="shared" ca="1" si="64"/>
        <v>9.7617859427222768</v>
      </c>
      <c r="N218">
        <f t="shared" ca="1" si="65"/>
        <v>1.0235162125737451E-2</v>
      </c>
      <c r="O218">
        <f ca="1">+$J217+$J217*$F$5*$G$10+$J217*$G$5*L$23</f>
        <v>303.5120939220364</v>
      </c>
      <c r="P218">
        <f ca="1">+$J217+$J217*$F$5*$G$10+$J217*$G$5*M$23</f>
        <v>301.94190300506978</v>
      </c>
      <c r="Q218">
        <f ca="1">+$J217+$J217*$F$5*$G$10+$J217*$G$5*N$23</f>
        <v>302.22277902715905</v>
      </c>
      <c r="R218">
        <f ca="1">+$J217+$J217*$F$5*$G$10+$J217*$G$5*O$23</f>
        <v>301.80475003931201</v>
      </c>
      <c r="S218">
        <f ca="1">+$J217+$J217*$F$5*$G$10+$J217*$G$5*P$23</f>
        <v>300.23008085094671</v>
      </c>
      <c r="T218">
        <f ca="1">+$J217+$J217*$F$5*$G$10+$J217*$G$5*Q$23</f>
        <v>300.29585484537807</v>
      </c>
      <c r="U218">
        <f ca="1">+$J217+$J217*$F$5*$G$10+$J217*$G$5*R$23</f>
        <v>303.18411129518051</v>
      </c>
      <c r="V218">
        <f ca="1">+$J217+$J217*$F$5*$G$10+$J217*$G$5*S$23</f>
        <v>305.67308811876308</v>
      </c>
      <c r="W218">
        <f ca="1">+$J217+$J217*$F$5*$G$10+$J217*$G$5*T$23</f>
        <v>304.04186688348705</v>
      </c>
      <c r="X218">
        <f ca="1">+$J217+$J217*$F$5*$G$10+$J217*$G$5*U$23</f>
        <v>298.44971276436308</v>
      </c>
    </row>
    <row r="219" spans="1:24">
      <c r="A219" s="2">
        <v>46245</v>
      </c>
      <c r="B219">
        <v>304.91000366210938</v>
      </c>
      <c r="C219">
        <f t="shared" si="61"/>
        <v>-4.7455146505741676E-3</v>
      </c>
      <c r="J219">
        <v>305.92999267578119</v>
      </c>
      <c r="K219">
        <f t="shared" ca="1" si="62"/>
        <v>305.1444948080379</v>
      </c>
      <c r="L219">
        <f t="shared" ca="1" si="63"/>
        <v>0.78549786774328823</v>
      </c>
      <c r="M219">
        <f t="shared" ca="1" si="64"/>
        <v>0.61700690022925231</v>
      </c>
      <c r="N219">
        <f t="shared" ca="1" si="65"/>
        <v>2.567573910857913E-3</v>
      </c>
      <c r="O219">
        <f ca="1">+$J218+$J218*$F$5*$G$10+$J218*$G$5*L$23</f>
        <v>306.53467247188132</v>
      </c>
      <c r="P219">
        <f ca="1">+$J218+$J218*$F$5*$G$10+$J218*$G$5*M$23</f>
        <v>304.94884453260215</v>
      </c>
      <c r="Q219">
        <f ca="1">+$J218+$J218*$F$5*$G$10+$J218*$G$5*N$23</f>
        <v>305.23251770794013</v>
      </c>
      <c r="R219">
        <f ca="1">+$J218+$J218*$F$5*$G$10+$J218*$G$5*O$23</f>
        <v>304.81032570492107</v>
      </c>
      <c r="S219">
        <f ca="1">+$J218+$J218*$F$5*$G$10+$J218*$G$5*P$23</f>
        <v>303.2199748965902</v>
      </c>
      <c r="T219">
        <f ca="1">+$J218+$J218*$F$5*$G$10+$J218*$G$5*Q$23</f>
        <v>303.28640391290929</v>
      </c>
      <c r="U219">
        <f ca="1">+$J218+$J218*$F$5*$G$10+$J218*$G$5*R$23</f>
        <v>306.20342357237104</v>
      </c>
      <c r="V219">
        <f ca="1">+$J218+$J218*$F$5*$G$10+$J218*$G$5*S$23</f>
        <v>308.71718730925517</v>
      </c>
      <c r="W219">
        <f ca="1">+$J218+$J218*$F$5*$G$10+$J218*$G$5*T$23</f>
        <v>307.06972127051154</v>
      </c>
      <c r="X219">
        <f ca="1">+$J218+$J218*$F$5*$G$10+$J218*$G$5*U$23</f>
        <v>301.42187670139771</v>
      </c>
    </row>
    <row r="220" spans="1:24">
      <c r="A220" s="2">
        <v>46246</v>
      </c>
      <c r="B220">
        <v>302.25</v>
      </c>
      <c r="C220">
        <f t="shared" si="61"/>
        <v>-3.8053636485211747E-3</v>
      </c>
      <c r="J220">
        <v>305.58999633789063</v>
      </c>
      <c r="K220">
        <f t="shared" ca="1" si="62"/>
        <v>305.81422418663101</v>
      </c>
      <c r="L220">
        <f t="shared" ca="1" si="63"/>
        <v>-0.22422784874038371</v>
      </c>
      <c r="M220">
        <f t="shared" ca="1" si="64"/>
        <v>5.0278128150740398E-2</v>
      </c>
      <c r="N220">
        <f t="shared" ca="1" si="65"/>
        <v>7.3375389059678227E-4</v>
      </c>
      <c r="O220">
        <f ca="1">+$J219+$J219*$F$5*$G$10+$J219*$G$5*L$23</f>
        <v>307.2074530043991</v>
      </c>
      <c r="P220">
        <f ca="1">+$J219+$J219*$F$5*$G$10+$J219*$G$5*M$23</f>
        <v>305.61814449909826</v>
      </c>
      <c r="Q220">
        <f ca="1">+$J219+$J219*$F$5*$G$10+$J219*$G$5*N$23</f>
        <v>305.90244027868653</v>
      </c>
      <c r="R220">
        <f ca="1">+$J219+$J219*$F$5*$G$10+$J219*$G$5*O$23</f>
        <v>305.4793216510925</v>
      </c>
      <c r="S220">
        <f ca="1">+$J219+$J219*$F$5*$G$10+$J219*$G$5*P$23</f>
        <v>303.88548034997302</v>
      </c>
      <c r="T220">
        <f ca="1">+$J219+$J219*$F$5*$G$10+$J219*$G$5*Q$23</f>
        <v>303.95205516431423</v>
      </c>
      <c r="U220">
        <f ca="1">+$J219+$J219*$F$5*$G$10+$J219*$G$5*R$23</f>
        <v>306.8754770817132</v>
      </c>
      <c r="V220">
        <f ca="1">+$J219+$J219*$F$5*$G$10+$J219*$G$5*S$23</f>
        <v>309.39475801275972</v>
      </c>
      <c r="W220">
        <f ca="1">+$J219+$J219*$F$5*$G$10+$J219*$G$5*T$23</f>
        <v>307.74367612504892</v>
      </c>
      <c r="X220">
        <f ca="1">+$J219+$J219*$F$5*$G$10+$J219*$G$5*U$23</f>
        <v>302.08343569922454</v>
      </c>
    </row>
    <row r="221" spans="1:24">
      <c r="A221" s="2">
        <v>46247</v>
      </c>
      <c r="B221">
        <v>305.260009765625</v>
      </c>
      <c r="C221">
        <f t="shared" si="61"/>
        <v>4.3036042461126042E-3</v>
      </c>
      <c r="J221">
        <v>310.02999877929688</v>
      </c>
      <c r="K221">
        <f t="shared" ca="1" si="62"/>
        <v>305.4743565084446</v>
      </c>
      <c r="L221">
        <f t="shared" ca="1" si="63"/>
        <v>4.5556422708522746</v>
      </c>
      <c r="M221">
        <f t="shared" ca="1" si="64"/>
        <v>20.753876499976069</v>
      </c>
      <c r="N221">
        <f t="shared" ca="1" si="65"/>
        <v>1.4694198267230682E-2</v>
      </c>
      <c r="O221">
        <f ca="1">+$J220+$J220*$F$5*$G$10+$J220*$G$5*L$23</f>
        <v>306.8660369566274</v>
      </c>
      <c r="P221">
        <f ca="1">+$J220+$J220*$F$5*$G$10+$J220*$G$5*M$23</f>
        <v>305.27849473473947</v>
      </c>
      <c r="Q221">
        <f ca="1">+$J220+$J220*$F$5*$G$10+$J220*$G$5*N$23</f>
        <v>305.56247456124618</v>
      </c>
      <c r="R221">
        <f ca="1">+$J220+$J220*$F$5*$G$10+$J220*$G$5*O$23</f>
        <v>305.13982616797801</v>
      </c>
      <c r="S221">
        <f ca="1">+$J220+$J220*$F$5*$G$10+$J220*$G$5*P$23</f>
        <v>303.54775618780951</v>
      </c>
      <c r="T221">
        <f ca="1">+$J220+$J220*$F$5*$G$10+$J220*$G$5*Q$23</f>
        <v>303.61425701400435</v>
      </c>
      <c r="U221">
        <f ca="1">+$J220+$J220*$F$5*$G$10+$J220*$G$5*R$23</f>
        <v>306.53442997651229</v>
      </c>
      <c r="V221">
        <f ca="1">+$J220+$J220*$F$5*$G$10+$J220*$G$5*S$23</f>
        <v>309.05091109612749</v>
      </c>
      <c r="W221">
        <f ca="1">+$J220+$J220*$F$5*$G$10+$J220*$G$5*T$23</f>
        <v>307.4016641438883</v>
      </c>
      <c r="X221">
        <f ca="1">+$J220+$J220*$F$5*$G$10+$J220*$G$5*U$23</f>
        <v>301.74771424551273</v>
      </c>
    </row>
    <row r="222" spans="1:24">
      <c r="A222" s="2">
        <v>46248</v>
      </c>
      <c r="B222">
        <v>305.92999267578119</v>
      </c>
      <c r="C222">
        <f t="shared" si="61"/>
        <v>9.5214252927986116E-4</v>
      </c>
      <c r="J222">
        <v>316.82998657226563</v>
      </c>
      <c r="K222">
        <f t="shared" ca="1" si="62"/>
        <v>309.91267878645795</v>
      </c>
      <c r="L222">
        <f t="shared" ca="1" si="63"/>
        <v>6.9173077858076795</v>
      </c>
      <c r="M222">
        <f t="shared" ca="1" si="64"/>
        <v>47.84914700359554</v>
      </c>
      <c r="N222">
        <f t="shared" ca="1" si="65"/>
        <v>2.1832869611380402E-2</v>
      </c>
      <c r="O222">
        <f ca="1">+$J221+$J221*$F$5*$G$10+$J221*$G$5*L$23</f>
        <v>311.32457934872059</v>
      </c>
      <c r="P222">
        <f ca="1">+$J221+$J221*$F$5*$G$10+$J221*$G$5*M$23</f>
        <v>309.71397128231717</v>
      </c>
      <c r="Q222">
        <f ca="1">+$J221+$J221*$F$5*$G$10+$J221*$G$5*N$23</f>
        <v>310.00207713106977</v>
      </c>
      <c r="R222">
        <f ca="1">+$J221+$J221*$F$5*$G$10+$J221*$G$5*O$23</f>
        <v>309.57328796120402</v>
      </c>
      <c r="S222">
        <f ca="1">+$J221+$J221*$F$5*$G$10+$J221*$G$5*P$23</f>
        <v>307.95808635145482</v>
      </c>
      <c r="T222">
        <f ca="1">+$J221+$J221*$F$5*$G$10+$J221*$G$5*Q$23</f>
        <v>308.02555338673443</v>
      </c>
      <c r="U222">
        <f ca="1">+$J221+$J221*$F$5*$G$10+$J221*$G$5*R$23</f>
        <v>310.98815435813742</v>
      </c>
      <c r="V222">
        <f ca="1">+$J221+$J221*$F$5*$G$10+$J221*$G$5*S$23</f>
        <v>313.54119813506713</v>
      </c>
      <c r="W222">
        <f ca="1">+$J221+$J221*$F$5*$G$10+$J221*$G$5*T$23</f>
        <v>311.86798881304429</v>
      </c>
      <c r="X222">
        <f ca="1">+$J221+$J221*$F$5*$G$10+$J221*$G$5*U$23</f>
        <v>306.13189109683043</v>
      </c>
    </row>
    <row r="223" spans="1:24">
      <c r="A223" s="2">
        <v>46251</v>
      </c>
      <c r="B223">
        <v>305.58999633789063</v>
      </c>
      <c r="C223">
        <f t="shared" si="61"/>
        <v>-4.8292304840626447E-4</v>
      </c>
      <c r="J223">
        <v>311.29998779296881</v>
      </c>
      <c r="K223">
        <f t="shared" ca="1" si="62"/>
        <v>316.71009336224677</v>
      </c>
      <c r="L223">
        <f t="shared" ca="1" si="63"/>
        <v>-5.4101055692779596</v>
      </c>
      <c r="M223">
        <f t="shared" ca="1" si="64"/>
        <v>29.269242270732395</v>
      </c>
      <c r="N223">
        <f t="shared" ca="1" si="65"/>
        <v>1.7379074145277416E-2</v>
      </c>
      <c r="O223">
        <f ca="1">+$J222+$J222*$F$5*$G$10+$J222*$G$5*L$23</f>
        <v>318.1529615941738</v>
      </c>
      <c r="P223">
        <f ca="1">+$J222+$J222*$F$5*$G$10+$J222*$G$5*M$23</f>
        <v>316.50702754243372</v>
      </c>
      <c r="Q223">
        <f ca="1">+$J222+$J222*$F$5*$G$10+$J222*$G$5*N$23</f>
        <v>316.80145250953717</v>
      </c>
      <c r="R223">
        <f ca="1">+$J222+$J222*$F$5*$G$10+$J222*$G$5*O$23</f>
        <v>316.3632585687385</v>
      </c>
      <c r="S223">
        <f ca="1">+$J222+$J222*$F$5*$G$10+$J222*$G$5*P$23</f>
        <v>314.71263022198735</v>
      </c>
      <c r="T223">
        <f ca="1">+$J222+$J222*$F$5*$G$10+$J222*$G$5*Q$23</f>
        <v>314.78157703347614</v>
      </c>
      <c r="U223">
        <f ca="1">+$J222+$J222*$F$5*$G$10+$J222*$G$5*R$23</f>
        <v>317.80915768594321</v>
      </c>
      <c r="V223">
        <f ca="1">+$J222+$J222*$F$5*$G$10+$J222*$G$5*S$23</f>
        <v>320.41819819411307</v>
      </c>
      <c r="W223">
        <f ca="1">+$J222+$J222*$F$5*$G$10+$J222*$G$5*T$23</f>
        <v>318.70828983325652</v>
      </c>
      <c r="X223">
        <f ca="1">+$J222+$J222*$F$5*$G$10+$J222*$G$5*U$23</f>
        <v>312.8463804388079</v>
      </c>
    </row>
    <row r="224" spans="1:24">
      <c r="A224" s="2">
        <v>46252</v>
      </c>
      <c r="B224">
        <v>310.02999877929688</v>
      </c>
      <c r="C224">
        <f t="shared" si="61"/>
        <v>6.2645853292413291E-3</v>
      </c>
      <c r="J224">
        <v>309.35000610351563</v>
      </c>
      <c r="K224">
        <f t="shared" ca="1" si="62"/>
        <v>311.18218721727482</v>
      </c>
      <c r="L224">
        <f t="shared" ca="1" si="63"/>
        <v>-1.8321811137591908</v>
      </c>
      <c r="M224">
        <f t="shared" ca="1" si="64"/>
        <v>3.3568876336158686</v>
      </c>
      <c r="N224">
        <f t="shared" ca="1" si="65"/>
        <v>5.9226800633910472E-3</v>
      </c>
      <c r="O224">
        <f ca="1">+$J223+$J223*$F$5*$G$10+$J223*$G$5*L$23</f>
        <v>312.5998714076041</v>
      </c>
      <c r="P224">
        <f ca="1">+$J223+$J223*$F$5*$G$10+$J223*$G$5*M$23</f>
        <v>310.98266573916953</v>
      </c>
      <c r="Q224">
        <f ca="1">+$J223+$J223*$F$5*$G$10+$J223*$G$5*N$23</f>
        <v>311.27195176811153</v>
      </c>
      <c r="R224">
        <f ca="1">+$J223+$J223*$F$5*$G$10+$J223*$G$5*O$23</f>
        <v>310.84140613101022</v>
      </c>
      <c r="S224">
        <f ca="1">+$J223+$J223*$F$5*$G$10+$J223*$G$5*P$23</f>
        <v>309.21958810250374</v>
      </c>
      <c r="T224">
        <f ca="1">+$J223+$J223*$F$5*$G$10+$J223*$G$5*Q$23</f>
        <v>309.2873315058572</v>
      </c>
      <c r="U224">
        <f ca="1">+$J223+$J223*$F$5*$G$10+$J223*$G$5*R$23</f>
        <v>312.26206830508454</v>
      </c>
      <c r="V224">
        <f ca="1">+$J223+$J223*$F$5*$G$10+$J223*$G$5*S$23</f>
        <v>314.82557022335823</v>
      </c>
      <c r="W224">
        <f ca="1">+$J223+$J223*$F$5*$G$10+$J223*$G$5*T$23</f>
        <v>313.14550686312975</v>
      </c>
      <c r="X224">
        <f ca="1">+$J223+$J223*$F$5*$G$10+$J223*$G$5*U$23</f>
        <v>307.38591212691904</v>
      </c>
    </row>
    <row r="225" spans="1:24">
      <c r="A225" s="2">
        <v>46253</v>
      </c>
      <c r="B225">
        <v>316.82998657226563</v>
      </c>
      <c r="C225">
        <f t="shared" si="61"/>
        <v>9.4225603466056174E-3</v>
      </c>
      <c r="J225">
        <v>310.33999633789063</v>
      </c>
      <c r="K225">
        <f t="shared" ca="1" si="62"/>
        <v>309.23294343008513</v>
      </c>
      <c r="L225">
        <f t="shared" ca="1" si="63"/>
        <v>1.107052907805496</v>
      </c>
      <c r="M225">
        <f t="shared" ca="1" si="64"/>
        <v>1.2255661406806042</v>
      </c>
      <c r="N225">
        <f t="shared" ca="1" si="65"/>
        <v>3.5672260129827539E-3</v>
      </c>
      <c r="O225">
        <f ca="1">+$J224+$J224*$F$5*$G$10+$J224*$G$5*L$23</f>
        <v>310.64174725317707</v>
      </c>
      <c r="P225">
        <f ca="1">+$J224+$J224*$F$5*$G$10+$J224*$G$5*M$23</f>
        <v>309.03467175359953</v>
      </c>
      <c r="Q225">
        <f ca="1">+$J224+$J224*$F$5*$G$10+$J224*$G$5*N$23</f>
        <v>309.32214569618895</v>
      </c>
      <c r="R225">
        <f ca="1">+$J224+$J224*$F$5*$G$10+$J224*$G$5*O$23</f>
        <v>308.89429699497498</v>
      </c>
      <c r="S225">
        <f ca="1">+$J224+$J224*$F$5*$G$10+$J224*$G$5*P$23</f>
        <v>307.28263802712775</v>
      </c>
      <c r="T225">
        <f ca="1">+$J224+$J224*$F$5*$G$10+$J224*$G$5*Q$23</f>
        <v>307.34995708611467</v>
      </c>
      <c r="U225">
        <f ca="1">+$J224+$J224*$F$5*$G$10+$J224*$G$5*R$23</f>
        <v>310.30606014773554</v>
      </c>
      <c r="V225">
        <f ca="1">+$J224+$J224*$F$5*$G$10+$J224*$G$5*S$23</f>
        <v>312.85350430180262</v>
      </c>
      <c r="W225">
        <f ca="1">+$J224+$J224*$F$5*$G$10+$J224*$G$5*T$23</f>
        <v>311.18396485072293</v>
      </c>
      <c r="X225">
        <f ca="1">+$J224+$J224*$F$5*$G$10+$J224*$G$5*U$23</f>
        <v>305.4604481894068</v>
      </c>
    </row>
    <row r="226" spans="1:24">
      <c r="A226" s="2">
        <v>46254</v>
      </c>
      <c r="B226">
        <v>311.29998779296881</v>
      </c>
      <c r="C226">
        <f t="shared" si="61"/>
        <v>-7.6471752831511917E-3</v>
      </c>
      <c r="J226">
        <v>309.89999389648438</v>
      </c>
      <c r="K226">
        <f t="shared" ca="1" si="62"/>
        <v>310.22255903733486</v>
      </c>
      <c r="L226">
        <f t="shared" ca="1" si="63"/>
        <v>-0.32256514085048593</v>
      </c>
      <c r="M226">
        <f t="shared" ca="1" si="64"/>
        <v>0.10404827009189382</v>
      </c>
      <c r="N226">
        <f t="shared" ca="1" si="65"/>
        <v>1.0408684969456052E-3</v>
      </c>
      <c r="O226">
        <f ca="1">+$J225+$J225*$F$5*$G$10+$J225*$G$5*L$23</f>
        <v>311.63587135242449</v>
      </c>
      <c r="P226">
        <f ca="1">+$J225+$J225*$F$5*$G$10+$J225*$G$5*M$23</f>
        <v>310.0236528464817</v>
      </c>
      <c r="Q226">
        <f ca="1">+$J225+$J225*$F$5*$G$10+$J225*$G$5*N$23</f>
        <v>310.31204677093689</v>
      </c>
      <c r="R226">
        <f ca="1">+$J225+$J225*$F$5*$G$10+$J225*$G$5*O$23</f>
        <v>309.8828288567679</v>
      </c>
      <c r="S226">
        <f ca="1">+$J225+$J225*$F$5*$G$10+$J225*$G$5*P$23</f>
        <v>308.26601221441661</v>
      </c>
      <c r="T226">
        <f ca="1">+$J225+$J225*$F$5*$G$10+$J225*$G$5*Q$23</f>
        <v>308.33354670967208</v>
      </c>
      <c r="U226">
        <f ca="1">+$J225+$J225*$F$5*$G$10+$J225*$G$5*R$23</f>
        <v>311.2991099720528</v>
      </c>
      <c r="V226">
        <f ca="1">+$J225+$J225*$F$5*$G$10+$J225*$G$5*S$23</f>
        <v>313.85470652562009</v>
      </c>
      <c r="W226">
        <f ca="1">+$J225+$J225*$F$5*$G$10+$J225*$G$5*T$23</f>
        <v>312.17982416935257</v>
      </c>
      <c r="X226">
        <f ca="1">+$J225+$J225*$F$5*$G$10+$J225*$G$5*U$23</f>
        <v>306.43799095562269</v>
      </c>
    </row>
    <row r="227" spans="1:24">
      <c r="A227" s="2">
        <v>46255</v>
      </c>
      <c r="B227">
        <v>309.35000610351563</v>
      </c>
      <c r="C227">
        <f t="shared" si="61"/>
        <v>-2.7289747277855166E-3</v>
      </c>
      <c r="J227">
        <v>313.45001220703119</v>
      </c>
      <c r="K227">
        <f t="shared" ca="1" si="62"/>
        <v>309.78272309943947</v>
      </c>
      <c r="L227">
        <f t="shared" ca="1" si="63"/>
        <v>3.6672891075917278</v>
      </c>
      <c r="M227">
        <f t="shared" ca="1" si="64"/>
        <v>13.44900939866093</v>
      </c>
      <c r="N227">
        <f t="shared" ca="1" si="65"/>
        <v>1.1699757424700667E-2</v>
      </c>
      <c r="O227">
        <f ca="1">+$J226+$J226*$F$5*$G$10+$J226*$G$5*L$23</f>
        <v>311.19403160942363</v>
      </c>
      <c r="P227">
        <f ca="1">+$J226+$J226*$F$5*$G$10+$J226*$G$5*M$23</f>
        <v>309.58409891931848</v>
      </c>
      <c r="Q227">
        <f ca="1">+$J226+$J226*$F$5*$G$10+$J226*$G$5*N$23</f>
        <v>309.87208395664231</v>
      </c>
      <c r="R227">
        <f ca="1">+$J226+$J226*$F$5*$G$10+$J226*$G$5*O$23</f>
        <v>309.44347459094388</v>
      </c>
      <c r="S227">
        <f ca="1">+$J226+$J226*$F$5*$G$10+$J226*$G$5*P$23</f>
        <v>307.82895028370359</v>
      </c>
      <c r="T227">
        <f ca="1">+$J226+$J226*$F$5*$G$10+$J226*$G$5*Q$23</f>
        <v>307.89638902803057</v>
      </c>
      <c r="U227">
        <f ca="1">+$J226+$J226*$F$5*$G$10+$J226*$G$5*R$23</f>
        <v>310.85774769193546</v>
      </c>
      <c r="V227">
        <f ca="1">+$J226+$J226*$F$5*$G$10+$J226*$G$5*S$23</f>
        <v>313.40972090099001</v>
      </c>
      <c r="W227">
        <f ca="1">+$J226+$J226*$F$5*$G$10+$J226*$G$5*T$23</f>
        <v>311.73721320585065</v>
      </c>
      <c r="X227">
        <f ca="1">+$J226+$J226*$F$5*$G$10+$J226*$G$5*U$23</f>
        <v>306.0035208075555</v>
      </c>
    </row>
    <row r="228" spans="1:24">
      <c r="A228" s="2">
        <v>46258</v>
      </c>
      <c r="B228">
        <v>310.33999633789063</v>
      </c>
      <c r="C228">
        <f t="shared" si="61"/>
        <v>1.3876217463660294E-3</v>
      </c>
      <c r="J228">
        <v>314.57998657226563</v>
      </c>
      <c r="K228">
        <f t="shared" ca="1" si="62"/>
        <v>313.33139802991201</v>
      </c>
      <c r="L228">
        <f t="shared" ca="1" si="63"/>
        <v>1.248588542353616</v>
      </c>
      <c r="M228">
        <f t="shared" ca="1" si="64"/>
        <v>1.5589733480967276</v>
      </c>
      <c r="N228">
        <f t="shared" ca="1" si="65"/>
        <v>3.9690654067301547E-3</v>
      </c>
      <c r="O228">
        <f ca="1">+$J227+$J227*$F$5*$G$10+$J227*$G$5*L$23</f>
        <v>314.75887359749851</v>
      </c>
      <c r="P228">
        <f ca="1">+$J227+$J227*$F$5*$G$10+$J227*$G$5*M$23</f>
        <v>313.13049853681838</v>
      </c>
      <c r="Q228">
        <f ca="1">+$J227+$J227*$F$5*$G$10+$J227*$G$5*N$23</f>
        <v>313.42178254857203</v>
      </c>
      <c r="R228">
        <f ca="1">+$J227+$J227*$F$5*$G$10+$J227*$G$5*O$23</f>
        <v>312.98826330508632</v>
      </c>
      <c r="S228">
        <f ca="1">+$J227+$J227*$F$5*$G$10+$J227*$G$5*P$23</f>
        <v>311.35524402860949</v>
      </c>
      <c r="T228">
        <f ca="1">+$J227+$J227*$F$5*$G$10+$J227*$G$5*Q$23</f>
        <v>311.42345530853476</v>
      </c>
      <c r="U228">
        <f ca="1">+$J227+$J227*$F$5*$G$10+$J227*$G$5*R$23</f>
        <v>314.41873742415964</v>
      </c>
      <c r="V228">
        <f ca="1">+$J227+$J227*$F$5*$G$10+$J227*$G$5*S$23</f>
        <v>316.99994442410991</v>
      </c>
      <c r="W228">
        <f ca="1">+$J227+$J227*$F$5*$G$10+$J227*$G$5*T$23</f>
        <v>315.30827753871819</v>
      </c>
      <c r="X228">
        <f ca="1">+$J227+$J227*$F$5*$G$10+$J227*$G$5*U$23</f>
        <v>309.50890358701264</v>
      </c>
    </row>
    <row r="229" spans="1:24">
      <c r="A229" s="2">
        <v>46259</v>
      </c>
      <c r="B229">
        <v>309.89999389648438</v>
      </c>
      <c r="C229">
        <f t="shared" si="61"/>
        <v>-6.1618298526818708E-4</v>
      </c>
      <c r="J229">
        <v>319.70001220703119</v>
      </c>
      <c r="K229">
        <f t="shared" ca="1" si="62"/>
        <v>314.46094479593035</v>
      </c>
      <c r="L229">
        <f t="shared" ca="1" si="63"/>
        <v>5.2390674111008479</v>
      </c>
      <c r="M229">
        <f t="shared" ca="1" si="64"/>
        <v>27.447827338058943</v>
      </c>
      <c r="N229">
        <f t="shared" ca="1" si="65"/>
        <v>1.6387448267309215E-2</v>
      </c>
      <c r="O229">
        <f ca="1">+$J228+$J228*$F$5*$G$10+$J228*$G$5*L$23</f>
        <v>315.89356635405943</v>
      </c>
      <c r="P229">
        <f ca="1">+$J228+$J228*$F$5*$G$10+$J228*$G$5*M$23</f>
        <v>314.25932106845062</v>
      </c>
      <c r="Q229">
        <f ca="1">+$J228+$J228*$F$5*$G$10+$J228*$G$5*N$23</f>
        <v>314.55165514705214</v>
      </c>
      <c r="R229">
        <f ca="1">+$J228+$J228*$F$5*$G$10+$J228*$G$5*O$23</f>
        <v>314.1165730845749</v>
      </c>
      <c r="S229">
        <f ca="1">+$J228+$J228*$F$5*$G$10+$J228*$G$5*P$23</f>
        <v>312.47766684096297</v>
      </c>
      <c r="T229">
        <f ca="1">+$J228+$J228*$F$5*$G$10+$J228*$G$5*Q$23</f>
        <v>312.5461240197389</v>
      </c>
      <c r="U229">
        <f ca="1">+$J228+$J228*$F$5*$G$10+$J228*$G$5*R$23</f>
        <v>315.55220400384513</v>
      </c>
      <c r="V229">
        <f ca="1">+$J228+$J228*$F$5*$G$10+$J228*$G$5*S$23</f>
        <v>318.14271614856403</v>
      </c>
      <c r="W229">
        <f ca="1">+$J228+$J228*$F$5*$G$10+$J228*$G$5*T$23</f>
        <v>316.44495087382609</v>
      </c>
      <c r="X229">
        <f ca="1">+$J228+$J228*$F$5*$G$10+$J228*$G$5*U$23</f>
        <v>310.62467041822958</v>
      </c>
    </row>
    <row r="230" spans="1:24">
      <c r="A230" s="2">
        <v>46260</v>
      </c>
      <c r="B230">
        <v>313.45001220703119</v>
      </c>
      <c r="C230">
        <f t="shared" si="61"/>
        <v>4.9467234023854575E-3</v>
      </c>
      <c r="J230">
        <v>316.85000610351563</v>
      </c>
      <c r="K230">
        <f t="shared" ca="1" si="62"/>
        <v>319.57903293634649</v>
      </c>
      <c r="L230">
        <f t="shared" ca="1" si="63"/>
        <v>-2.7290268328308684</v>
      </c>
      <c r="M230">
        <f t="shared" ca="1" si="64"/>
        <v>7.4475874543108809</v>
      </c>
      <c r="N230">
        <f t="shared" ca="1" si="65"/>
        <v>8.6129928365514669E-3</v>
      </c>
      <c r="O230">
        <f ca="1">+$J229+$J229*$F$5*$G$10+$J229*$G$5*L$23</f>
        <v>321.03497148670522</v>
      </c>
      <c r="P230">
        <f ca="1">+$J229+$J229*$F$5*$G$10+$J229*$G$5*M$23</f>
        <v>319.37412763121603</v>
      </c>
      <c r="Q230">
        <f ca="1">+$J229+$J229*$F$5*$G$10+$J229*$G$5*N$23</f>
        <v>319.67121966658607</v>
      </c>
      <c r="R230">
        <f ca="1">+$J229+$J229*$F$5*$G$10+$J229*$G$5*O$23</f>
        <v>319.22905631665196</v>
      </c>
      <c r="S230">
        <f ca="1">+$J229+$J229*$F$5*$G$10+$J229*$G$5*P$23</f>
        <v>317.56347564256623</v>
      </c>
      <c r="T230">
        <f ca="1">+$J229+$J229*$F$5*$G$10+$J229*$G$5*Q$23</f>
        <v>317.63304701336062</v>
      </c>
      <c r="U230">
        <f ca="1">+$J229+$J229*$F$5*$G$10+$J229*$G$5*R$23</f>
        <v>320.68805320776551</v>
      </c>
      <c r="V230">
        <f ca="1">+$J229+$J229*$F$5*$G$10+$J229*$G$5*S$23</f>
        <v>323.32072788396852</v>
      </c>
      <c r="W230">
        <f ca="1">+$J229+$J229*$F$5*$G$10+$J229*$G$5*T$23</f>
        <v>321.59533020380269</v>
      </c>
      <c r="X230">
        <f ca="1">+$J229+$J229*$F$5*$G$10+$J229*$G$5*U$23</f>
        <v>315.68032031084147</v>
      </c>
    </row>
    <row r="231" spans="1:24">
      <c r="A231" s="2">
        <v>46261</v>
      </c>
      <c r="B231">
        <v>314.57998657226563</v>
      </c>
      <c r="C231">
        <f t="shared" si="61"/>
        <v>1.5627984714731435E-3</v>
      </c>
      <c r="J231">
        <v>325.1300048828125</v>
      </c>
      <c r="K231">
        <f t="shared" ca="1" si="62"/>
        <v>316.73010531780642</v>
      </c>
      <c r="L231">
        <f t="shared" ca="1" si="63"/>
        <v>8.3998995650060806</v>
      </c>
      <c r="M231">
        <f t="shared" ca="1" si="64"/>
        <v>70.55831270218934</v>
      </c>
      <c r="N231">
        <f t="shared" ca="1" si="65"/>
        <v>2.5835510223160361E-2</v>
      </c>
      <c r="O231">
        <f ca="1">+$J230+$J230*$F$5*$G$10+$J230*$G$5*L$23</f>
        <v>318.17306472022517</v>
      </c>
      <c r="P231">
        <f ca="1">+$J230+$J230*$F$5*$G$10+$J230*$G$5*M$23</f>
        <v>316.52702666687674</v>
      </c>
      <c r="Q231">
        <f ca="1">+$J230+$J230*$F$5*$G$10+$J230*$G$5*N$23</f>
        <v>316.82147023780578</v>
      </c>
      <c r="R231">
        <f ca="1">+$J230+$J230*$F$5*$G$10+$J230*$G$5*O$23</f>
        <v>316.38324860885371</v>
      </c>
      <c r="S231">
        <f ca="1">+$J230+$J230*$F$5*$G$10+$J230*$G$5*P$23</f>
        <v>314.73251596387581</v>
      </c>
      <c r="T231">
        <f ca="1">+$J230+$J230*$F$5*$G$10+$J230*$G$5*Q$23</f>
        <v>314.80146713190567</v>
      </c>
      <c r="U231">
        <f ca="1">+$J230+$J230*$F$5*$G$10+$J230*$G$5*R$23</f>
        <v>317.82923908806259</v>
      </c>
      <c r="V231">
        <f ca="1">+$J230+$J230*$F$5*$G$10+$J230*$G$5*S$23</f>
        <v>320.43844445363294</v>
      </c>
      <c r="W231">
        <f ca="1">+$J230+$J230*$F$5*$G$10+$J230*$G$5*T$23</f>
        <v>318.72842804882436</v>
      </c>
      <c r="X231">
        <f ca="1">+$J230+$J230*$F$5*$G$10+$J230*$G$5*U$23</f>
        <v>312.86614825800143</v>
      </c>
    </row>
    <row r="232" spans="1:24">
      <c r="A232" s="2">
        <v>46262</v>
      </c>
      <c r="B232">
        <v>319.70001220703119</v>
      </c>
      <c r="C232">
        <f t="shared" si="61"/>
        <v>7.0115632945910037E-3</v>
      </c>
      <c r="J232">
        <v>324.95999145507813</v>
      </c>
      <c r="K232">
        <f t="shared" ca="1" si="62"/>
        <v>325.00697082160957</v>
      </c>
      <c r="L232">
        <f t="shared" ca="1" si="63"/>
        <v>-4.6979366531445521E-2</v>
      </c>
      <c r="M232">
        <f t="shared" ca="1" si="64"/>
        <v>2.2070608796959036E-3</v>
      </c>
      <c r="N232">
        <f t="shared" ca="1" si="65"/>
        <v>1.4456969401397792E-4</v>
      </c>
      <c r="O232">
        <f ca="1">+$J231+$J231*$F$5*$G$10+$J231*$G$5*L$23</f>
        <v>326.48763797804583</v>
      </c>
      <c r="P232">
        <f ca="1">+$J231+$J231*$F$5*$G$10+$J231*$G$5*M$23</f>
        <v>324.7985852716759</v>
      </c>
      <c r="Q232">
        <f ca="1">+$J231+$J231*$F$5*$G$10+$J231*$G$5*N$23</f>
        <v>325.10072331115759</v>
      </c>
      <c r="R232">
        <f ca="1">+$J231+$J231*$F$5*$G$10+$J231*$G$5*O$23</f>
        <v>324.65104997167089</v>
      </c>
      <c r="S232">
        <f ca="1">+$J231+$J231*$F$5*$G$10+$J231*$G$5*P$23</f>
        <v>322.95717999350046</v>
      </c>
      <c r="T232">
        <f ca="1">+$J231+$J231*$F$5*$G$10+$J231*$G$5*Q$23</f>
        <v>323.02793300964811</v>
      </c>
      <c r="U232">
        <f ca="1">+$J231+$J231*$F$5*$G$10+$J231*$G$5*R$23</f>
        <v>326.13482741370791</v>
      </c>
      <c r="V232">
        <f ca="1">+$J231+$J231*$F$5*$G$10+$J231*$G$5*S$23</f>
        <v>328.81221714672563</v>
      </c>
      <c r="W232">
        <f ca="1">+$J231+$J231*$F$5*$G$10+$J231*$G$5*T$23</f>
        <v>327.05751419158833</v>
      </c>
      <c r="X232">
        <f ca="1">+$J231+$J231*$F$5*$G$10+$J231*$G$5*U$23</f>
        <v>321.04203992837506</v>
      </c>
    </row>
    <row r="233" spans="1:24">
      <c r="A233" s="2">
        <v>46265</v>
      </c>
      <c r="B233">
        <v>316.85000610351563</v>
      </c>
      <c r="C233">
        <f t="shared" si="61"/>
        <v>-3.8889330271338288E-3</v>
      </c>
      <c r="J233">
        <v>328.20999145507813</v>
      </c>
      <c r="K233">
        <f t="shared" ca="1" si="62"/>
        <v>324.83702172950143</v>
      </c>
      <c r="L233">
        <f t="shared" ca="1" si="63"/>
        <v>3.3729697255766951</v>
      </c>
      <c r="M233">
        <f t="shared" ca="1" si="64"/>
        <v>11.376924769656926</v>
      </c>
      <c r="N233">
        <f t="shared" ca="1" si="65"/>
        <v>1.0276864852965181E-2</v>
      </c>
      <c r="O233">
        <f ca="1">+$J232+$J232*$F$5*$G$10+$J232*$G$5*L$23</f>
        <v>326.31691463165538</v>
      </c>
      <c r="P233">
        <f ca="1">+$J232+$J232*$F$5*$G$10+$J232*$G$5*M$23</f>
        <v>324.62874514626145</v>
      </c>
      <c r="Q233">
        <f ca="1">+$J232+$J232*$F$5*$G$10+$J232*$G$5*N$23</f>
        <v>324.9307251950226</v>
      </c>
      <c r="R233">
        <f ca="1">+$J232+$J232*$F$5*$G$10+$J232*$G$5*O$23</f>
        <v>324.4812869938026</v>
      </c>
      <c r="S233">
        <f ca="1">+$J232+$J232*$F$5*$G$10+$J232*$G$5*P$23</f>
        <v>322.78830275560324</v>
      </c>
      <c r="T233">
        <f ca="1">+$J232+$J232*$F$5*$G$10+$J232*$G$5*Q$23</f>
        <v>322.8590187743572</v>
      </c>
      <c r="U233">
        <f ca="1">+$J232+$J232*$F$5*$G$10+$J232*$G$5*R$23</f>
        <v>325.96428855516075</v>
      </c>
      <c r="V233">
        <f ca="1">+$J232+$J232*$F$5*$G$10+$J232*$G$5*S$23</f>
        <v>328.64027825680927</v>
      </c>
      <c r="W233">
        <f ca="1">+$J232+$J232*$F$5*$G$10+$J232*$G$5*T$23</f>
        <v>326.88649285175836</v>
      </c>
      <c r="X233">
        <f ca="1">+$J232+$J232*$F$5*$G$10+$J232*$G$5*U$23</f>
        <v>320.87416413458385</v>
      </c>
    </row>
    <row r="234" spans="1:24">
      <c r="A234" s="2">
        <v>46266</v>
      </c>
      <c r="B234">
        <v>325.1300048828125</v>
      </c>
      <c r="C234">
        <f t="shared" si="61"/>
        <v>1.1203330732467699E-2</v>
      </c>
      <c r="J234">
        <v>319.97000122070313</v>
      </c>
      <c r="K234">
        <f t="shared" ca="1" si="62"/>
        <v>328.0857918808473</v>
      </c>
      <c r="L234">
        <f t="shared" ca="1" si="63"/>
        <v>-8.1157906601441709</v>
      </c>
      <c r="M234">
        <f t="shared" ca="1" si="64"/>
        <v>65.866058039283359</v>
      </c>
      <c r="N234">
        <f t="shared" ca="1" si="65"/>
        <v>2.536422361215734E-2</v>
      </c>
      <c r="O234">
        <f ca="1">+$J233+$J233*$F$5*$G$10+$J233*$G$5*L$23</f>
        <v>329.58048553404285</v>
      </c>
      <c r="P234">
        <f ca="1">+$J233+$J233*$F$5*$G$10+$J233*$G$5*M$23</f>
        <v>327.8754322753482</v>
      </c>
      <c r="Q234">
        <f ca="1">+$J233+$J233*$F$5*$G$10+$J233*$G$5*N$23</f>
        <v>328.18043249638987</v>
      </c>
      <c r="R234">
        <f ca="1">+$J233+$J233*$F$5*$G$10+$J233*$G$5*O$23</f>
        <v>327.72649935981667</v>
      </c>
      <c r="S234">
        <f ca="1">+$J233+$J233*$F$5*$G$10+$J233*$G$5*P$23</f>
        <v>326.01658319486074</v>
      </c>
      <c r="T234">
        <f ca="1">+$J233+$J233*$F$5*$G$10+$J233*$G$5*Q$23</f>
        <v>326.08800646086661</v>
      </c>
      <c r="U234">
        <f ca="1">+$J233+$J233*$F$5*$G$10+$J233*$G$5*R$23</f>
        <v>329.22433276263581</v>
      </c>
      <c r="V234">
        <f ca="1">+$J233+$J233*$F$5*$G$10+$J233*$G$5*S$23</f>
        <v>331.9270856559358</v>
      </c>
      <c r="W234">
        <f ca="1">+$J233+$J233*$F$5*$G$10+$J233*$G$5*T$23</f>
        <v>330.15576023760229</v>
      </c>
      <c r="X234">
        <f ca="1">+$J233+$J233*$F$5*$G$10+$J233*$G$5*U$23</f>
        <v>324.08330083097485</v>
      </c>
    </row>
    <row r="235" spans="1:24">
      <c r="A235" s="2">
        <v>46267</v>
      </c>
      <c r="B235">
        <v>324.95999145507813</v>
      </c>
      <c r="C235">
        <f t="shared" si="61"/>
        <v>-2.2715591876122209E-4</v>
      </c>
      <c r="J235">
        <v>316.22000122070313</v>
      </c>
      <c r="K235">
        <f t="shared" ca="1" si="62"/>
        <v>319.84891978213375</v>
      </c>
      <c r="L235">
        <f t="shared" ca="1" si="63"/>
        <v>-3.6289185614306234</v>
      </c>
      <c r="M235">
        <f t="shared" ca="1" si="64"/>
        <v>13.169049925495706</v>
      </c>
      <c r="N235">
        <f t="shared" ca="1" si="65"/>
        <v>1.1475929882429702E-2</v>
      </c>
      <c r="O235">
        <f ca="1">+$J234+$J234*$F$5*$G$10+$J234*$G$5*L$23</f>
        <v>321.30608788331568</v>
      </c>
      <c r="P235">
        <f ca="1">+$J234+$J234*$F$5*$G$10+$J234*$G$5*M$23</f>
        <v>319.64384143296479</v>
      </c>
      <c r="Q235">
        <f ca="1">+$J234+$J234*$F$5*$G$10+$J234*$G$5*N$23</f>
        <v>319.94118436474565</v>
      </c>
      <c r="R235">
        <f ca="1">+$J234+$J234*$F$5*$G$10+$J234*$G$5*O$23</f>
        <v>319.4986476046077</v>
      </c>
      <c r="S235">
        <f ca="1">+$J234+$J234*$F$5*$G$10+$J234*$G$5*P$23</f>
        <v>317.83166033538208</v>
      </c>
      <c r="T235">
        <f ca="1">+$J234+$J234*$F$5*$G$10+$J234*$G$5*Q$23</f>
        <v>317.90129045971122</v>
      </c>
      <c r="U235">
        <f ca="1">+$J234+$J234*$F$5*$G$10+$J234*$G$5*R$23</f>
        <v>320.95887662933569</v>
      </c>
      <c r="V235">
        <f ca="1">+$J234+$J234*$F$5*$G$10+$J234*$G$5*S$23</f>
        <v>323.59377461868229</v>
      </c>
      <c r="W235">
        <f ca="1">+$J234+$J234*$F$5*$G$10+$J234*$G$5*T$23</f>
        <v>321.86691982747465</v>
      </c>
      <c r="X235">
        <f ca="1">+$J234+$J234*$F$5*$G$10+$J234*$G$5*U$23</f>
        <v>315.9469146651175</v>
      </c>
    </row>
    <row r="236" spans="1:24">
      <c r="A236" s="2">
        <v>46268</v>
      </c>
      <c r="B236">
        <v>328.20999145507813</v>
      </c>
      <c r="C236">
        <f t="shared" si="61"/>
        <v>4.3219031845904421E-3</v>
      </c>
      <c r="J236">
        <v>315.33999633789063</v>
      </c>
      <c r="K236">
        <f t="shared" ca="1" si="62"/>
        <v>316.10033883827299</v>
      </c>
      <c r="L236">
        <f t="shared" ca="1" si="63"/>
        <v>-0.76034250038236451</v>
      </c>
      <c r="M236">
        <f t="shared" ca="1" si="64"/>
        <v>0.57812071788770591</v>
      </c>
      <c r="N236">
        <f t="shared" ca="1" si="65"/>
        <v>2.4111831965890184E-3</v>
      </c>
      <c r="O236">
        <f ca="1">+$J235+$J235*$F$5*$G$10+$J235*$G$5*L$23</f>
        <v>317.54042914979163</v>
      </c>
      <c r="P236">
        <f ca="1">+$J235+$J235*$F$5*$G$10+$J235*$G$5*M$23</f>
        <v>315.89766397632621</v>
      </c>
      <c r="Q236">
        <f ca="1">+$J235+$J235*$F$5*$G$10+$J235*$G$5*N$23</f>
        <v>316.19152209393724</v>
      </c>
      <c r="R236">
        <f ca="1">+$J235+$J235*$F$5*$G$10+$J235*$G$5*O$23</f>
        <v>315.75417179766833</v>
      </c>
      <c r="S236">
        <f ca="1">+$J235+$J235*$F$5*$G$10+$J235*$G$5*P$23</f>
        <v>314.10672136700805</v>
      </c>
      <c r="T236">
        <f ca="1">+$J235+$J235*$F$5*$G$10+$J235*$G$5*Q$23</f>
        <v>314.17553543681572</v>
      </c>
      <c r="U236">
        <f ca="1">+$J235+$J235*$F$5*$G$10+$J235*$G$5*R$23</f>
        <v>317.19728715917216</v>
      </c>
      <c r="V236">
        <f ca="1">+$J235+$J235*$F$5*$G$10+$J235*$G$5*S$23</f>
        <v>319.80130454276713</v>
      </c>
      <c r="W236">
        <f ca="1">+$J235+$J235*$F$5*$G$10+$J235*$G$5*T$23</f>
        <v>318.09468822842393</v>
      </c>
      <c r="X236">
        <f ca="1">+$J235+$J235*$F$5*$G$10+$J235*$G$5*U$23</f>
        <v>312.24406463082016</v>
      </c>
    </row>
    <row r="237" spans="1:24">
      <c r="A237" s="2">
        <v>46269</v>
      </c>
      <c r="B237">
        <v>319.97000122070313</v>
      </c>
      <c r="C237">
        <f t="shared" si="61"/>
        <v>-1.1042534864971686E-2</v>
      </c>
      <c r="J237">
        <v>326.57000732421881</v>
      </c>
      <c r="K237">
        <f t="shared" ca="1" si="62"/>
        <v>315.22066696248231</v>
      </c>
      <c r="L237">
        <f t="shared" ca="1" si="63"/>
        <v>11.349340361736495</v>
      </c>
      <c r="M237">
        <f t="shared" ca="1" si="64"/>
        <v>128.80752664654108</v>
      </c>
      <c r="N237">
        <f t="shared" ca="1" si="65"/>
        <v>3.4753161978126383E-2</v>
      </c>
      <c r="O237">
        <f ca="1">+$J236+$J236*$F$5*$G$10+$J236*$G$5*L$23</f>
        <v>316.65674966378987</v>
      </c>
      <c r="P237">
        <f ca="1">+$J236+$J236*$F$5*$G$10+$J236*$G$5*M$23</f>
        <v>315.01855612199984</v>
      </c>
      <c r="Q237">
        <f ca="1">+$J236+$J236*$F$5*$G$10+$J236*$G$5*N$23</f>
        <v>315.31159646534815</v>
      </c>
      <c r="R237">
        <f ca="1">+$J236+$J236*$F$5*$G$10+$J236*$G$5*O$23</f>
        <v>314.87546326602035</v>
      </c>
      <c r="S237">
        <f ca="1">+$J236+$J236*$F$5*$G$10+$J236*$G$5*P$23</f>
        <v>313.23259750558202</v>
      </c>
      <c r="T237">
        <f ca="1">+$J236+$J236*$F$5*$G$10+$J236*$G$5*Q$23</f>
        <v>313.30122007353276</v>
      </c>
      <c r="U237">
        <f ca="1">+$J236+$J236*$F$5*$G$10+$J236*$G$5*R$23</f>
        <v>316.31456259893753</v>
      </c>
      <c r="V237">
        <f ca="1">+$J236+$J236*$F$5*$G$10+$J236*$G$5*S$23</f>
        <v>318.91133329350697</v>
      </c>
      <c r="W237">
        <f ca="1">+$J236+$J236*$F$5*$G$10+$J236*$G$5*T$23</f>
        <v>317.20946630142015</v>
      </c>
      <c r="X237">
        <f ca="1">+$J236+$J236*$F$5*$G$10+$J236*$G$5*U$23</f>
        <v>311.37512433468578</v>
      </c>
    </row>
    <row r="238" spans="1:24">
      <c r="A238" s="2">
        <v>46273</v>
      </c>
      <c r="B238">
        <v>316.22000122070313</v>
      </c>
      <c r="C238">
        <f t="shared" si="61"/>
        <v>-5.1199269497553251E-3</v>
      </c>
      <c r="J238">
        <v>332.26998901367188</v>
      </c>
      <c r="K238">
        <f t="shared" ca="1" si="62"/>
        <v>326.44642834453452</v>
      </c>
      <c r="L238">
        <f t="shared" ca="1" si="63"/>
        <v>5.8235606691373505</v>
      </c>
      <c r="M238">
        <f t="shared" ca="1" si="64"/>
        <v>33.913858867123466</v>
      </c>
      <c r="N238">
        <f t="shared" ca="1" si="65"/>
        <v>1.7526592414874184E-2</v>
      </c>
      <c r="O238">
        <f ca="1">+$J237+$J237*$F$5*$G$10+$J237*$G$5*L$23</f>
        <v>327.93365338331989</v>
      </c>
      <c r="P238">
        <f ca="1">+$J237+$J237*$F$5*$G$10+$J237*$G$5*M$23</f>
        <v>326.23711985394283</v>
      </c>
      <c r="Q238">
        <f ca="1">+$J237+$J237*$F$5*$G$10+$J237*$G$5*N$23</f>
        <v>326.54059606433447</v>
      </c>
      <c r="R238">
        <f ca="1">+$J237+$J237*$F$5*$G$10+$J237*$G$5*O$23</f>
        <v>326.08893111934543</v>
      </c>
      <c r="S238">
        <f ca="1">+$J237+$J237*$F$5*$G$10+$J237*$G$5*P$23</f>
        <v>324.38755898244665</v>
      </c>
      <c r="T238">
        <f ca="1">+$J237+$J237*$F$5*$G$10+$J237*$G$5*Q$23</f>
        <v>324.45862536406179</v>
      </c>
      <c r="U238">
        <f ca="1">+$J237+$J237*$F$5*$G$10+$J237*$G$5*R$23</f>
        <v>327.5792802192023</v>
      </c>
      <c r="V238">
        <f ca="1">+$J237+$J237*$F$5*$G$10+$J237*$G$5*S$23</f>
        <v>330.2685281249332</v>
      </c>
      <c r="W238">
        <f ca="1">+$J237+$J237*$F$5*$G$10+$J237*$G$5*T$23</f>
        <v>328.50605358150386</v>
      </c>
      <c r="X238">
        <f ca="1">+$J237+$J237*$F$5*$G$10+$J237*$G$5*U$23</f>
        <v>322.46393675225499</v>
      </c>
    </row>
    <row r="239" spans="1:24">
      <c r="A239" s="2">
        <v>46274</v>
      </c>
      <c r="B239">
        <v>315.33999633789063</v>
      </c>
      <c r="C239">
        <f t="shared" si="61"/>
        <v>-1.210277767648542E-3</v>
      </c>
      <c r="J239">
        <v>333.07998657226563</v>
      </c>
      <c r="K239">
        <f t="shared" ca="1" si="62"/>
        <v>332.14425307558486</v>
      </c>
      <c r="L239">
        <f t="shared" ca="1" si="63"/>
        <v>0.93573349668076844</v>
      </c>
      <c r="M239">
        <f t="shared" ca="1" si="64"/>
        <v>0.87559717681041771</v>
      </c>
      <c r="N239">
        <f t="shared" ca="1" si="65"/>
        <v>2.809335698342086E-3</v>
      </c>
      <c r="O239">
        <f ca="1">+$J238+$J238*$F$5*$G$10+$J238*$G$5*L$23</f>
        <v>333.6574362712708</v>
      </c>
      <c r="P239">
        <f ca="1">+$J238+$J238*$F$5*$G$10+$J238*$G$5*M$23</f>
        <v>331.9312912961513</v>
      </c>
      <c r="Q239">
        <f ca="1">+$J238+$J238*$F$5*$G$10+$J238*$G$5*N$23</f>
        <v>332.24006440706546</v>
      </c>
      <c r="R239">
        <f ca="1">+$J238+$J238*$F$5*$G$10+$J238*$G$5*O$23</f>
        <v>331.78051606231992</v>
      </c>
      <c r="S239">
        <f ca="1">+$J238+$J238*$F$5*$G$10+$J238*$G$5*P$23</f>
        <v>330.04944802619656</v>
      </c>
      <c r="T239">
        <f ca="1">+$J238+$J238*$F$5*$G$10+$J238*$G$5*Q$23</f>
        <v>330.12175480669976</v>
      </c>
      <c r="U239">
        <f ca="1">+$J238+$J238*$F$5*$G$10+$J238*$G$5*R$23</f>
        <v>333.29687784671472</v>
      </c>
      <c r="V239">
        <f ca="1">+$J238+$J238*$F$5*$G$10+$J238*$G$5*S$23</f>
        <v>336.03306412240391</v>
      </c>
      <c r="W239">
        <f ca="1">+$J238+$J238*$F$5*$G$10+$J238*$G$5*T$23</f>
        <v>334.23982719296129</v>
      </c>
      <c r="X239">
        <f ca="1">+$J238+$J238*$F$5*$G$10+$J238*$G$5*U$23</f>
        <v>328.0922507240644</v>
      </c>
    </row>
    <row r="240" spans="1:24">
      <c r="A240" s="2">
        <v>46275</v>
      </c>
      <c r="B240">
        <v>326.57000732421881</v>
      </c>
      <c r="C240">
        <f t="shared" si="61"/>
        <v>1.5197237737159235E-2</v>
      </c>
      <c r="J240">
        <v>331.33999633789063</v>
      </c>
      <c r="K240">
        <f t="shared" ca="1" si="62"/>
        <v>332.95394411897632</v>
      </c>
      <c r="L240">
        <f t="shared" ca="1" si="63"/>
        <v>-1.6139477810856988</v>
      </c>
      <c r="M240">
        <f t="shared" ca="1" si="64"/>
        <v>2.6048274400714506</v>
      </c>
      <c r="N240">
        <f t="shared" ca="1" si="65"/>
        <v>4.8709718081841324E-3</v>
      </c>
      <c r="O240">
        <f ca="1">+$J239+$J239*$F$5*$G$10+$J239*$G$5*L$23</f>
        <v>334.47081610611122</v>
      </c>
      <c r="P240">
        <f ca="1">+$J239+$J239*$F$5*$G$10+$J239*$G$5*M$23</f>
        <v>332.74046318786759</v>
      </c>
      <c r="Q240">
        <f ca="1">+$J239+$J239*$F$5*$G$10+$J239*$G$5*N$23</f>
        <v>333.04998901637362</v>
      </c>
      <c r="R240">
        <f ca="1">+$J239+$J239*$F$5*$G$10+$J239*$G$5*O$23</f>
        <v>332.58932039880904</v>
      </c>
      <c r="S240">
        <f ca="1">+$J239+$J239*$F$5*$G$10+$J239*$G$5*P$23</f>
        <v>330.85403241827481</v>
      </c>
      <c r="T240">
        <f ca="1">+$J239+$J239*$F$5*$G$10+$J239*$G$5*Q$23</f>
        <v>330.92651546602337</v>
      </c>
      <c r="U240">
        <f ca="1">+$J239+$J239*$F$5*$G$10+$J239*$G$5*R$23</f>
        <v>334.10937872331851</v>
      </c>
      <c r="V240">
        <f ca="1">+$J239+$J239*$F$5*$G$10+$J239*$G$5*S$23</f>
        <v>336.8522351897455</v>
      </c>
      <c r="W240">
        <f ca="1">+$J239+$J239*$F$5*$G$10+$J239*$G$5*T$23</f>
        <v>335.05462676247623</v>
      </c>
      <c r="X240">
        <f ca="1">+$J239+$J239*$F$5*$G$10+$J239*$G$5*U$23</f>
        <v>328.89206392076289</v>
      </c>
    </row>
    <row r="241" spans="1:24">
      <c r="A241" s="2">
        <v>46276</v>
      </c>
      <c r="B241">
        <v>332.26998901367188</v>
      </c>
      <c r="C241">
        <f t="shared" si="61"/>
        <v>7.5148211205217355E-3</v>
      </c>
      <c r="J241">
        <v>332.41000366210938</v>
      </c>
      <c r="K241">
        <f t="shared" ca="1" si="62"/>
        <v>331.21461232295451</v>
      </c>
      <c r="L241">
        <f t="shared" ca="1" si="63"/>
        <v>1.1953913391548667</v>
      </c>
      <c r="M241">
        <f t="shared" ca="1" si="64"/>
        <v>1.4289604537264655</v>
      </c>
      <c r="N241">
        <f t="shared" ca="1" si="65"/>
        <v>3.5961352726615508E-3</v>
      </c>
      <c r="O241">
        <f ca="1">+$J240+$J240*$F$5*$G$10+$J240*$G$5*L$23</f>
        <v>332.72356026015899</v>
      </c>
      <c r="P241">
        <f ca="1">+$J240+$J240*$F$5*$G$10+$J240*$G$5*M$23</f>
        <v>331.00224660365774</v>
      </c>
      <c r="Q241">
        <f ca="1">+$J240+$J240*$F$5*$G$10+$J240*$G$5*N$23</f>
        <v>331.31015548746404</v>
      </c>
      <c r="R241">
        <f ca="1">+$J240+$J240*$F$5*$G$10+$J240*$G$5*O$23</f>
        <v>330.85189337562821</v>
      </c>
      <c r="S241">
        <f ca="1">+$J240+$J240*$F$5*$G$10+$J240*$G$5*P$23</f>
        <v>329.12567043731116</v>
      </c>
      <c r="T241">
        <f ca="1">+$J240+$J240*$F$5*$G$10+$J240*$G$5*Q$23</f>
        <v>329.19777483788687</v>
      </c>
      <c r="U241">
        <f ca="1">+$J240+$J240*$F$5*$G$10+$J240*$G$5*R$23</f>
        <v>332.36401100496852</v>
      </c>
      <c r="V241">
        <f ca="1">+$J240+$J240*$F$5*$G$10+$J240*$G$5*S$23</f>
        <v>335.09253895074499</v>
      </c>
      <c r="W241">
        <f ca="1">+$J240+$J240*$F$5*$G$10+$J240*$G$5*T$23</f>
        <v>333.30432112403651</v>
      </c>
      <c r="X241">
        <f ca="1">+$J240+$J240*$F$5*$G$10+$J240*$G$5*U$23</f>
        <v>327.1739511476876</v>
      </c>
    </row>
    <row r="242" spans="1:24">
      <c r="A242" s="2">
        <v>46279</v>
      </c>
      <c r="B242">
        <v>333.07998657226563</v>
      </c>
      <c r="C242">
        <f t="shared" si="61"/>
        <v>1.0574213774589231E-3</v>
      </c>
      <c r="J242">
        <v>337</v>
      </c>
      <c r="K242">
        <f t="shared" ca="1" si="62"/>
        <v>332.28421474038322</v>
      </c>
      <c r="L242">
        <f t="shared" ca="1" si="63"/>
        <v>4.71578525961678</v>
      </c>
      <c r="M242">
        <f t="shared" ca="1" si="64"/>
        <v>22.238630614818902</v>
      </c>
      <c r="N242">
        <f t="shared" ca="1" si="65"/>
        <v>1.3993428070079465E-2</v>
      </c>
      <c r="O242">
        <f ca="1">+$J241+$J241*$F$5*$G$10+$J241*$G$5*L$23</f>
        <v>333.79803557359349</v>
      </c>
      <c r="P242">
        <f ca="1">+$J241+$J241*$F$5*$G$10+$J241*$G$5*M$23</f>
        <v>332.07116322137148</v>
      </c>
      <c r="Q242">
        <f ca="1">+$J241+$J241*$F$5*$G$10+$J241*$G$5*N$23</f>
        <v>332.38006644562722</v>
      </c>
      <c r="R242">
        <f ca="1">+$J241+$J241*$F$5*$G$10+$J241*$G$5*O$23</f>
        <v>331.9203244526376</v>
      </c>
      <c r="S242">
        <f ca="1">+$J241+$J241*$F$5*$G$10+$J241*$G$5*P$23</f>
        <v>330.18852696489199</v>
      </c>
      <c r="T242">
        <f ca="1">+$J241+$J241*$F$5*$G$10+$J241*$G$5*Q$23</f>
        <v>330.26086421461838</v>
      </c>
      <c r="U242">
        <f ca="1">+$J241+$J241*$F$5*$G$10+$J241*$G$5*R$23</f>
        <v>333.43732521397635</v>
      </c>
      <c r="V242">
        <f ca="1">+$J241+$J241*$F$5*$G$10+$J241*$G$5*S$23</f>
        <v>336.174664486241</v>
      </c>
      <c r="W242">
        <f ca="1">+$J241+$J241*$F$5*$G$10+$J241*$G$5*T$23</f>
        <v>334.38067190793885</v>
      </c>
      <c r="X242">
        <f ca="1">+$J241+$J241*$F$5*$G$10+$J241*$G$5*U$23</f>
        <v>328.23050492293612</v>
      </c>
    </row>
    <row r="243" spans="1:24">
      <c r="A243" s="2">
        <v>46280</v>
      </c>
      <c r="B243">
        <v>331.33999633789063</v>
      </c>
      <c r="C243">
        <f t="shared" si="61"/>
        <v>-2.2746753688898062E-3</v>
      </c>
      <c r="J243">
        <v>336.1300048828125</v>
      </c>
      <c r="K243">
        <f t="shared" ca="1" si="62"/>
        <v>336.87247415494511</v>
      </c>
      <c r="L243">
        <f t="shared" ca="1" si="63"/>
        <v>-0.7424692721326096</v>
      </c>
      <c r="M243">
        <f t="shared" ca="1" si="64"/>
        <v>0.55126062006112708</v>
      </c>
      <c r="N243">
        <f t="shared" ca="1" si="65"/>
        <v>2.2088753201055709E-3</v>
      </c>
      <c r="O243">
        <f ca="1">+$J242+$J242*$F$5*$G$10+$J242*$G$5*L$23</f>
        <v>338.40719818602577</v>
      </c>
      <c r="P243">
        <f ca="1">+$J242+$J242*$F$5*$G$10+$J242*$G$5*M$23</f>
        <v>336.65648076992068</v>
      </c>
      <c r="Q243">
        <f ca="1">+$J242+$J242*$F$5*$G$10+$J242*$G$5*N$23</f>
        <v>336.96964940331713</v>
      </c>
      <c r="R243">
        <f ca="1">+$J242+$J242*$F$5*$G$10+$J242*$G$5*O$23</f>
        <v>336.50355918361674</v>
      </c>
      <c r="S243">
        <f ca="1">+$J242+$J242*$F$5*$G$10+$J242*$G$5*P$23</f>
        <v>334.74784862454612</v>
      </c>
      <c r="T243">
        <f ca="1">+$J242+$J242*$F$5*$G$10+$J242*$G$5*Q$23</f>
        <v>334.82118472420984</v>
      </c>
      <c r="U243">
        <f ca="1">+$J242+$J242*$F$5*$G$10+$J242*$G$5*R$23</f>
        <v>338.04150705202932</v>
      </c>
      <c r="V243">
        <f ca="1">+$J242+$J242*$F$5*$G$10+$J242*$G$5*S$23</f>
        <v>340.81664415557708</v>
      </c>
      <c r="W243">
        <f ca="1">+$J242+$J242*$F$5*$G$10+$J242*$G$5*T$23</f>
        <v>338.99787970135696</v>
      </c>
      <c r="X243">
        <f ca="1">+$J242+$J242*$F$5*$G$10+$J242*$G$5*U$23</f>
        <v>332.7627897488515</v>
      </c>
    </row>
    <row r="244" spans="1:24">
      <c r="A244" s="2">
        <v>46281</v>
      </c>
      <c r="B244">
        <v>332.41000366210938</v>
      </c>
      <c r="C244">
        <f t="shared" si="61"/>
        <v>1.4002220084360717E-3</v>
      </c>
      <c r="J244">
        <v>338.98001098632813</v>
      </c>
      <c r="K244">
        <f t="shared" ca="1" si="62"/>
        <v>336.00280825693414</v>
      </c>
      <c r="L244">
        <f t="shared" ca="1" si="63"/>
        <v>2.97720272939398</v>
      </c>
      <c r="M244">
        <f t="shared" ca="1" si="64"/>
        <v>8.8637360919109636</v>
      </c>
      <c r="N244">
        <f t="shared" ca="1" si="65"/>
        <v>8.7828268125050533E-3</v>
      </c>
      <c r="O244">
        <f ca="1">+$J243+$J243*$F$5*$G$10+$J243*$G$5*L$23</f>
        <v>337.53357026304963</v>
      </c>
      <c r="P244">
        <f ca="1">+$J243+$J243*$F$5*$G$10+$J243*$G$5*M$23</f>
        <v>335.78737247781572</v>
      </c>
      <c r="Q244">
        <f ca="1">+$J243+$J243*$F$5*$G$10+$J243*$G$5*N$23</f>
        <v>336.09973263886229</v>
      </c>
      <c r="R244">
        <f ca="1">+$J243+$J243*$F$5*$G$10+$J243*$G$5*O$23</f>
        <v>335.6348456720263</v>
      </c>
      <c r="S244">
        <f ca="1">+$J243+$J243*$F$5*$G$10+$J243*$G$5*P$23</f>
        <v>333.88366763406424</v>
      </c>
      <c r="T244">
        <f ca="1">+$J243+$J243*$F$5*$G$10+$J243*$G$5*Q$23</f>
        <v>333.95681441014159</v>
      </c>
      <c r="U244">
        <f ca="1">+$J243+$J243*$F$5*$G$10+$J243*$G$5*R$23</f>
        <v>337.16882319285429</v>
      </c>
      <c r="V244">
        <f ca="1">+$J243+$J243*$F$5*$G$10+$J243*$G$5*S$23</f>
        <v>339.93679603607683</v>
      </c>
      <c r="W244">
        <f ca="1">+$J243+$J243*$F$5*$G$10+$J243*$G$5*T$23</f>
        <v>338.1227268821371</v>
      </c>
      <c r="X244">
        <f ca="1">+$J243+$J243*$F$5*$G$10+$J243*$G$5*U$23</f>
        <v>331.90373336231386</v>
      </c>
    </row>
    <row r="245" spans="1:24">
      <c r="A245" s="2">
        <v>46282</v>
      </c>
      <c r="B245">
        <v>337</v>
      </c>
      <c r="C245">
        <f t="shared" si="61"/>
        <v>5.9558157536115149E-3</v>
      </c>
      <c r="J245">
        <v>339.75</v>
      </c>
      <c r="K245">
        <f t="shared" ca="1" si="62"/>
        <v>338.85173587547422</v>
      </c>
      <c r="L245">
        <f t="shared" ca="1" si="63"/>
        <v>0.89826412452578097</v>
      </c>
      <c r="M245">
        <f t="shared" ca="1" si="64"/>
        <v>0.80687843741006771</v>
      </c>
      <c r="N245">
        <f t="shared" ca="1" si="65"/>
        <v>2.6438973495975892E-3</v>
      </c>
      <c r="O245">
        <f ca="1">+$J244+$J244*$F$5*$G$10+$J244*$G$5*L$23</f>
        <v>340.39547702952973</v>
      </c>
      <c r="P245">
        <f ca="1">+$J244+$J244*$F$5*$G$10+$J244*$G$5*M$23</f>
        <v>338.63447344215507</v>
      </c>
      <c r="Q245">
        <f ca="1">+$J244+$J244*$F$5*$G$10+$J244*$G$5*N$23</f>
        <v>338.94948206764263</v>
      </c>
      <c r="R245">
        <f ca="1">+$J244+$J244*$F$5*$G$10+$J244*$G$5*O$23</f>
        <v>338.48065337982467</v>
      </c>
      <c r="S245">
        <f ca="1">+$J244+$J244*$F$5*$G$10+$J244*$G$5*P$23</f>
        <v>336.71462731275471</v>
      </c>
      <c r="T245">
        <f ca="1">+$J244+$J244*$F$5*$G$10+$J244*$G$5*Q$23</f>
        <v>336.78839429159655</v>
      </c>
      <c r="U245">
        <f ca="1">+$J244+$J244*$F$5*$G$10+$J244*$G$5*R$23</f>
        <v>340.02763731255726</v>
      </c>
      <c r="V245">
        <f ca="1">+$J244+$J244*$F$5*$G$10+$J244*$G$5*S$23</f>
        <v>342.81907946641246</v>
      </c>
      <c r="W245">
        <f ca="1">+$J244+$J244*$F$5*$G$10+$J244*$G$5*T$23</f>
        <v>340.98962903711549</v>
      </c>
      <c r="X245">
        <f ca="1">+$J244+$J244*$F$5*$G$10+$J244*$G$5*U$23</f>
        <v>334.71790541515395</v>
      </c>
    </row>
    <row r="246" spans="1:24">
      <c r="A246" s="2">
        <v>46283</v>
      </c>
      <c r="B246">
        <v>336.1300048828125</v>
      </c>
      <c r="C246">
        <f t="shared" si="61"/>
        <v>-1.1226190671108274E-3</v>
      </c>
      <c r="J246">
        <v>337.01998901367188</v>
      </c>
      <c r="K246">
        <f t="shared" ca="1" si="62"/>
        <v>339.62143351377625</v>
      </c>
      <c r="L246">
        <f t="shared" ca="1" si="63"/>
        <v>-2.6014445001043782</v>
      </c>
      <c r="M246">
        <f t="shared" ca="1" si="64"/>
        <v>6.7675134871233187</v>
      </c>
      <c r="N246">
        <f t="shared" ca="1" si="65"/>
        <v>7.7189620346193935E-3</v>
      </c>
      <c r="O246">
        <f ca="1">+$J245+$J245*$F$5*$G$10+$J245*$G$5*L$23</f>
        <v>341.16868125727672</v>
      </c>
      <c r="P246">
        <f ca="1">+$J245+$J245*$F$5*$G$10+$J245*$G$5*M$23</f>
        <v>339.40367757145566</v>
      </c>
      <c r="Q246">
        <f ca="1">+$J245+$J245*$F$5*$G$10+$J245*$G$5*N$23</f>
        <v>339.71940173524331</v>
      </c>
      <c r="R246">
        <f ca="1">+$J245+$J245*$F$5*$G$10+$J245*$G$5*O$23</f>
        <v>339.24950810870558</v>
      </c>
      <c r="S246">
        <f ca="1">+$J245+$J245*$F$5*$G$10+$J245*$G$5*P$23</f>
        <v>337.47947053468704</v>
      </c>
      <c r="T246">
        <f ca="1">+$J245+$J245*$F$5*$G$10+$J245*$G$5*Q$23</f>
        <v>337.55340507433323</v>
      </c>
      <c r="U246">
        <f ca="1">+$J245+$J245*$F$5*$G$10+$J245*$G$5*R$23</f>
        <v>340.80000599681586</v>
      </c>
      <c r="V246">
        <f ca="1">+$J245+$J245*$F$5*$G$10+$J245*$G$5*S$23</f>
        <v>343.59778887791487</v>
      </c>
      <c r="W246">
        <f ca="1">+$J245+$J245*$F$5*$G$10+$J245*$G$5*T$23</f>
        <v>341.76418287399417</v>
      </c>
      <c r="X246">
        <f ca="1">+$J245+$J245*$F$5*$G$10+$J245*$G$5*U$23</f>
        <v>335.47821310733622</v>
      </c>
    </row>
    <row r="247" spans="1:24">
      <c r="A247" s="2">
        <v>46286</v>
      </c>
      <c r="B247">
        <v>338.98001098632813</v>
      </c>
      <c r="C247">
        <f t="shared" si="61"/>
        <v>3.6668076251494368E-3</v>
      </c>
      <c r="J247">
        <v>335.92001342773438</v>
      </c>
      <c r="K247">
        <f t="shared" ca="1" si="62"/>
        <v>336.892455604475</v>
      </c>
      <c r="L247">
        <f t="shared" ca="1" si="63"/>
        <v>-0.97244217674062838</v>
      </c>
      <c r="M247">
        <f t="shared" ca="1" si="64"/>
        <v>0.9456437871040515</v>
      </c>
      <c r="N247">
        <f t="shared" ca="1" si="65"/>
        <v>2.8948622822969356E-3</v>
      </c>
      <c r="O247">
        <f ca="1">+$J246+$J246*$F$5*$G$10+$J246*$G$5*L$23</f>
        <v>338.42727066706789</v>
      </c>
      <c r="P247">
        <f ca="1">+$J246+$J246*$F$5*$G$10+$J246*$G$5*M$23</f>
        <v>336.67644940789347</v>
      </c>
      <c r="Q247">
        <f ca="1">+$J246+$J246*$F$5*$G$10+$J246*$G$5*N$23</f>
        <v>336.98963661675612</v>
      </c>
      <c r="R247">
        <f ca="1">+$J246+$J246*$F$5*$G$10+$J246*$G$5*O$23</f>
        <v>336.52351875110975</v>
      </c>
      <c r="S247">
        <f ca="1">+$J246+$J246*$F$5*$G$10+$J246*$G$5*P$23</f>
        <v>334.76770405280365</v>
      </c>
      <c r="T247">
        <f ca="1">+$J246+$J246*$F$5*$G$10+$J246*$G$5*Q$23</f>
        <v>334.84104450236737</v>
      </c>
      <c r="U247">
        <f ca="1">+$J246+$J246*$F$5*$G$10+$J246*$G$5*R$23</f>
        <v>338.06155784225518</v>
      </c>
      <c r="V247">
        <f ca="1">+$J246+$J246*$F$5*$G$10+$J246*$G$5*S$23</f>
        <v>340.83685955189645</v>
      </c>
      <c r="W247">
        <f ca="1">+$J246+$J246*$F$5*$G$10+$J246*$G$5*T$23</f>
        <v>339.0179872184255</v>
      </c>
      <c r="X247">
        <f ca="1">+$J246+$J246*$F$5*$G$10+$J246*$G$5*U$23</f>
        <v>332.78252743417431</v>
      </c>
    </row>
    <row r="248" spans="1:24">
      <c r="A248" s="2">
        <v>46287</v>
      </c>
      <c r="B248">
        <v>339.75</v>
      </c>
      <c r="C248">
        <f t="shared" si="61"/>
        <v>9.8537597515469541E-4</v>
      </c>
      <c r="J248">
        <v>341.07000732421881</v>
      </c>
      <c r="K248">
        <f t="shared" ca="1" si="62"/>
        <v>335.79289626576639</v>
      </c>
      <c r="L248">
        <f t="shared" ca="1" si="63"/>
        <v>5.2771110584524195</v>
      </c>
      <c r="M248">
        <f t="shared" ca="1" si="64"/>
        <v>27.847901123240813</v>
      </c>
      <c r="N248">
        <f t="shared" ca="1" si="65"/>
        <v>1.5472222550005793E-2</v>
      </c>
      <c r="O248">
        <f ca="1">+$J247+$J247*$F$5*$G$10+$J247*$G$5*L$23</f>
        <v>337.32270195457488</v>
      </c>
      <c r="P248">
        <f ca="1">+$J247+$J247*$F$5*$G$10+$J247*$G$5*M$23</f>
        <v>335.57759507645562</v>
      </c>
      <c r="Q248">
        <f ca="1">+$J247+$J247*$F$5*$G$10+$J247*$G$5*N$23</f>
        <v>335.88976009584934</v>
      </c>
      <c r="R248">
        <f ca="1">+$J247+$J247*$F$5*$G$10+$J247*$G$5*O$23</f>
        <v>335.42516355917189</v>
      </c>
      <c r="S248">
        <f ca="1">+$J247+$J247*$F$5*$G$10+$J247*$G$5*P$23</f>
        <v>333.67507953965196</v>
      </c>
      <c r="T248">
        <f ca="1">+$J247+$J247*$F$5*$G$10+$J247*$G$5*Q$23</f>
        <v>333.74818061853557</v>
      </c>
      <c r="U248">
        <f ca="1">+$J247+$J247*$F$5*$G$10+$J247*$G$5*R$23</f>
        <v>336.95818275385528</v>
      </c>
      <c r="V248">
        <f ca="1">+$J247+$J247*$F$5*$G$10+$J247*$G$5*S$23</f>
        <v>339.72442635352172</v>
      </c>
      <c r="W248">
        <f ca="1">+$J247+$J247*$F$5*$G$10+$J247*$G$5*T$23</f>
        <v>337.91149050817006</v>
      </c>
      <c r="X248">
        <f ca="1">+$J247+$J247*$F$5*$G$10+$J247*$G$5*U$23</f>
        <v>331.69638219787697</v>
      </c>
    </row>
    <row r="249" spans="1:24">
      <c r="A249" s="2">
        <v>46288</v>
      </c>
      <c r="B249">
        <v>337.01998901367188</v>
      </c>
      <c r="C249">
        <f t="shared" si="61"/>
        <v>-3.5038053020712643E-3</v>
      </c>
      <c r="J249">
        <v>338.39999389648438</v>
      </c>
      <c r="K249">
        <f t="shared" ca="1" si="62"/>
        <v>340.94094132746244</v>
      </c>
      <c r="L249">
        <f t="shared" ca="1" si="63"/>
        <v>-2.5409474309780649</v>
      </c>
      <c r="M249">
        <f t="shared" ca="1" si="64"/>
        <v>6.4564138469940273</v>
      </c>
      <c r="N249">
        <f t="shared" ca="1" si="65"/>
        <v>7.5087100378474995E-3</v>
      </c>
      <c r="O249">
        <f ca="1">+$J248+$J248*$F$5*$G$10+$J248*$G$5*L$23</f>
        <v>342.4942004862794</v>
      </c>
      <c r="P249">
        <f ca="1">+$J248+$J248*$F$5*$G$10+$J248*$G$5*M$23</f>
        <v>340.72233935294531</v>
      </c>
      <c r="Q249">
        <f ca="1">+$J248+$J248*$F$5*$G$10+$J248*$G$5*N$23</f>
        <v>341.03929017812703</v>
      </c>
      <c r="R249">
        <f ca="1">+$J248+$J248*$F$5*$G$10+$J248*$G$5*O$23</f>
        <v>340.56757090617759</v>
      </c>
      <c r="S249">
        <f ca="1">+$J248+$J248*$F$5*$G$10+$J248*$G$5*P$23</f>
        <v>338.79065632682619</v>
      </c>
      <c r="T249">
        <f ca="1">+$J248+$J248*$F$5*$G$10+$J248*$G$5*Q$23</f>
        <v>338.86487811925775</v>
      </c>
      <c r="U249">
        <f ca="1">+$J248+$J248*$F$5*$G$10+$J248*$G$5*R$23</f>
        <v>342.12409283716789</v>
      </c>
      <c r="V249">
        <f ca="1">+$J248+$J248*$F$5*$G$10+$J248*$G$5*S$23</f>
        <v>344.93274575180516</v>
      </c>
      <c r="W249">
        <f ca="1">+$J248+$J248*$F$5*$G$10+$J248*$G$5*T$23</f>
        <v>343.09201576449988</v>
      </c>
      <c r="X249">
        <f ca="1">+$J248+$J248*$F$5*$G$10+$J248*$G$5*U$23</f>
        <v>336.78162355153785</v>
      </c>
    </row>
    <row r="250" spans="1:24">
      <c r="A250" s="2">
        <v>46289</v>
      </c>
      <c r="B250">
        <v>335.92001342773438</v>
      </c>
      <c r="C250">
        <f t="shared" si="61"/>
        <v>-1.4197811125189746E-3</v>
      </c>
      <c r="J250">
        <v>329.39999389648438</v>
      </c>
      <c r="K250">
        <f t="shared" ca="1" si="62"/>
        <v>338.27193827278046</v>
      </c>
      <c r="L250">
        <f t="shared" ca="1" si="63"/>
        <v>-8.871944376296085</v>
      </c>
      <c r="M250">
        <f t="shared" ca="1" si="64"/>
        <v>78.711397016091723</v>
      </c>
      <c r="N250">
        <f t="shared" ca="1" si="65"/>
        <v>2.6933650700321929E-2</v>
      </c>
      <c r="O250">
        <f ca="1">+$J249+$J249*$F$5*$G$10+$J249*$G$5*L$23</f>
        <v>339.81303798420618</v>
      </c>
      <c r="P250">
        <f ca="1">+$J249+$J249*$F$5*$G$10+$J249*$G$5*M$23</f>
        <v>338.05504758977168</v>
      </c>
      <c r="Q250">
        <f ca="1">+$J249+$J249*$F$5*$G$10+$J249*$G$5*N$23</f>
        <v>338.36951721478636</v>
      </c>
      <c r="R250">
        <f ca="1">+$J249+$J249*$F$5*$G$10+$J249*$G$5*O$23</f>
        <v>337.90149072368297</v>
      </c>
      <c r="S250">
        <f ca="1">+$J249+$J249*$F$5*$G$10+$J249*$G$5*P$23</f>
        <v>336.13848644334621</v>
      </c>
      <c r="T250">
        <f ca="1">+$J249+$J249*$F$5*$G$10+$J249*$G$5*Q$23</f>
        <v>336.21212720203641</v>
      </c>
      <c r="U250">
        <f ca="1">+$J249+$J249*$F$5*$G$10+$J249*$G$5*R$23</f>
        <v>339.44582766517829</v>
      </c>
      <c r="V250">
        <f ca="1">+$J249+$J249*$F$5*$G$10+$J249*$G$5*S$23</f>
        <v>342.2324934779453</v>
      </c>
      <c r="W250">
        <f ca="1">+$J249+$J249*$F$5*$G$10+$J249*$G$5*T$23</f>
        <v>340.40617335863601</v>
      </c>
      <c r="X250">
        <f ca="1">+$J249+$J249*$F$5*$G$10+$J249*$G$5*U$23</f>
        <v>334.14518106821504</v>
      </c>
    </row>
    <row r="251" spans="1:24">
      <c r="A251" s="2">
        <v>46290</v>
      </c>
      <c r="B251">
        <v>341.07000732421881</v>
      </c>
      <c r="C251">
        <f t="shared" si="61"/>
        <v>6.607651539440337E-3</v>
      </c>
      <c r="J251">
        <v>333.01998901367188</v>
      </c>
      <c r="K251">
        <f t="shared" ca="1" si="62"/>
        <v>329.27534400751495</v>
      </c>
      <c r="L251">
        <f t="shared" ca="1" si="63"/>
        <v>3.7446450061569294</v>
      </c>
      <c r="M251">
        <f t="shared" ca="1" si="64"/>
        <v>14.02236622213603</v>
      </c>
      <c r="N251">
        <f t="shared" ca="1" si="65"/>
        <v>1.124450522398881E-2</v>
      </c>
      <c r="O251">
        <f ca="1">+$J250+$J250*$F$5*$G$10+$J250*$G$5*L$23</f>
        <v>330.77545702374852</v>
      </c>
      <c r="P251">
        <f ca="1">+$J250+$J250*$F$5*$G$10+$J250*$G$5*M$23</f>
        <v>329.0642216938391</v>
      </c>
      <c r="Q251">
        <f ca="1">+$J250+$J250*$F$5*$G$10+$J250*$G$5*N$23</f>
        <v>329.37032776484614</v>
      </c>
      <c r="R251">
        <f ca="1">+$J250+$J250*$F$5*$G$10+$J250*$G$5*O$23</f>
        <v>328.91474878702854</v>
      </c>
      <c r="S251">
        <f ca="1">+$J250+$J250*$F$5*$G$10+$J250*$G$5*P$23</f>
        <v>327.19863291924855</v>
      </c>
      <c r="T251">
        <f ca="1">+$J250+$J250*$F$5*$G$10+$J250*$G$5*Q$23</f>
        <v>327.27031514708722</v>
      </c>
      <c r="U251">
        <f ca="1">+$J250+$J250*$F$5*$G$10+$J250*$G$5*R$23</f>
        <v>330.41801293678583</v>
      </c>
      <c r="V251">
        <f ca="1">+$J250+$J250*$F$5*$G$10+$J250*$G$5*S$23</f>
        <v>333.13056529574885</v>
      </c>
      <c r="W251">
        <f ca="1">+$J250+$J250*$F$5*$G$10+$J250*$G$5*T$23</f>
        <v>331.3528175209143</v>
      </c>
      <c r="X251">
        <f ca="1">+$J250+$J250*$F$5*$G$10+$J250*$G$5*U$23</f>
        <v>325.2583409859015</v>
      </c>
    </row>
    <row r="252" spans="1:24">
      <c r="A252" s="2">
        <v>46293</v>
      </c>
      <c r="B252">
        <v>338.39999389648438</v>
      </c>
      <c r="C252">
        <f t="shared" si="61"/>
        <v>-3.4131839955023973E-3</v>
      </c>
    </row>
    <row r="253" spans="1:24">
      <c r="A253" s="2">
        <v>46294</v>
      </c>
      <c r="B253">
        <v>329.39999389648438</v>
      </c>
      <c r="C253">
        <f t="shared" si="61"/>
        <v>-1.1706759747269695E-2</v>
      </c>
    </row>
    <row r="254" spans="1:24">
      <c r="A254" s="2">
        <v>46295</v>
      </c>
      <c r="B254">
        <v>333.01998901367188</v>
      </c>
      <c r="C254">
        <f t="shared" si="61"/>
        <v>4.7467153617393142E-3</v>
      </c>
    </row>
    <row r="255" spans="1:24">
      <c r="J255" t="s">
        <v>35</v>
      </c>
      <c r="K255">
        <f ca="1">+SQRT(M251/183)</f>
        <v>0.27681212407250194</v>
      </c>
    </row>
    <row r="256" spans="1:24">
      <c r="J256" t="s">
        <v>34</v>
      </c>
      <c r="K256" s="3">
        <f ca="1">+SUM(N251/183)</f>
        <v>6.1445383737643771E-5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2E8F5-2600-4BA4-A224-08BD421BCEC5}">
  <dimension ref="A1"/>
  <sheetViews>
    <sheetView workbookViewId="0">
      <selection activeCell="B4" sqref="B4"/>
    </sheetView>
  </sheetViews>
  <sheetFormatPr defaultColWidth="11.42578125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C41EAD5CA15C74C93B93F4DE618FC0D" ma:contentTypeVersion="3" ma:contentTypeDescription="Create a new document." ma:contentTypeScope="" ma:versionID="488b3daaff12af5e3ac38cb253b24e41">
  <xsd:schema xmlns:xsd="http://www.w3.org/2001/XMLSchema" xmlns:xs="http://www.w3.org/2001/XMLSchema" xmlns:p="http://schemas.microsoft.com/office/2006/metadata/properties" xmlns:ns2="d6e47d33-3630-42e3-8c77-b05ab6fbffd0" targetNamespace="http://schemas.microsoft.com/office/2006/metadata/properties" ma:root="true" ma:fieldsID="c8c9c674ab96fe26349160194e0c4d40" ns2:_="">
    <xsd:import namespace="d6e47d33-3630-42e3-8c77-b05ab6fbff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47d33-3630-42e3-8c77-b05ab6fbff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80F6FE-08F1-4CF1-941E-C3D02BD2C6DA}"/>
</file>

<file path=customXml/itemProps2.xml><?xml version="1.0" encoding="utf-8"?>
<ds:datastoreItem xmlns:ds="http://schemas.openxmlformats.org/officeDocument/2006/customXml" ds:itemID="{AFD8CD7A-17A3-4111-8B35-C4B443529F41}"/>
</file>

<file path=customXml/itemProps3.xml><?xml version="1.0" encoding="utf-8"?>
<ds:datastoreItem xmlns:ds="http://schemas.openxmlformats.org/officeDocument/2006/customXml" ds:itemID="{99CB110D-EA99-4E3B-A559-2239FB7C1D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Brayan Camilo Hernandez Silva</cp:lastModifiedBy>
  <cp:revision/>
  <dcterms:created xsi:type="dcterms:W3CDTF">2026-10-01T13:09:04Z</dcterms:created>
  <dcterms:modified xsi:type="dcterms:W3CDTF">2026-10-15T12:35:09Z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0x0101001C41EAD5CA15C74C93B93F4DE618FC0D</vt:lpwstr>
  </property>
</Properties>
</file>